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明细" sheetId="1" state="visible" r:id="rId1"/>
    <sheet xmlns:r="http://schemas.openxmlformats.org/officeDocument/2006/relationships" name="年终奖计算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i val="1"/>
      <color rgb="00808080"/>
      <sz val="9"/>
    </font>
    <font>
      <name val="微软雅黑"/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4" customWidth="1" min="15" max="15"/>
  </cols>
  <sheetData>
    <row r="1" ht="30" customHeight="1">
      <c r="A1" s="1" t="inlineStr">
        <is>
          <t>工资明细（全年逐月录入 · 用于计算月均工资）</t>
        </is>
      </c>
    </row>
    <row r="2" ht="22" customHeight="1">
      <c r="A2" s="2" t="inlineStr">
        <is>
          <t>员工编号</t>
        </is>
      </c>
      <c r="B2" s="2" t="inlineStr">
        <is>
          <t>姓名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全年合计(元)</t>
        </is>
      </c>
    </row>
    <row r="3" ht="20" customHeight="1">
      <c r="A3" s="3" t="inlineStr">
        <is>
          <t>E001</t>
        </is>
      </c>
      <c r="B3" s="3" t="inlineStr">
        <is>
          <t>张三</t>
        </is>
      </c>
      <c r="C3" s="3" t="n">
        <v>6800</v>
      </c>
      <c r="D3" s="3" t="n">
        <v>6800</v>
      </c>
      <c r="E3" s="3" t="n">
        <v>7200</v>
      </c>
      <c r="F3" s="3" t="n">
        <v>7500</v>
      </c>
      <c r="G3" s="3" t="n">
        <v>7500</v>
      </c>
      <c r="H3" s="3" t="n">
        <v>7500</v>
      </c>
      <c r="I3" s="3" t="n">
        <v>7500</v>
      </c>
      <c r="J3" s="3" t="n">
        <v>7500</v>
      </c>
      <c r="K3" s="3" t="n">
        <v>7200</v>
      </c>
      <c r="L3" s="3" t="n">
        <v>7800</v>
      </c>
      <c r="M3" s="3" t="n">
        <v>7800</v>
      </c>
      <c r="N3" s="3" t="n">
        <v>8200</v>
      </c>
      <c r="O3" s="4">
        <f>SUM(C3:N3)</f>
        <v/>
      </c>
    </row>
    <row r="4" ht="20" customHeight="1">
      <c r="A4" s="3" t="inlineStr">
        <is>
          <t>E002</t>
        </is>
      </c>
      <c r="B4" s="3" t="inlineStr">
        <is>
          <t>李四</t>
        </is>
      </c>
      <c r="C4" s="3" t="n">
        <v>5200</v>
      </c>
      <c r="D4" s="3" t="n">
        <v>5200</v>
      </c>
      <c r="E4" s="3" t="n">
        <v>5200</v>
      </c>
      <c r="F4" s="3" t="n">
        <v>5600</v>
      </c>
      <c r="G4" s="3" t="n">
        <v>5600</v>
      </c>
      <c r="H4" s="3" t="n">
        <v>5600</v>
      </c>
      <c r="I4" s="3" t="n">
        <v>5600</v>
      </c>
      <c r="J4" s="3" t="n">
        <v>5600</v>
      </c>
      <c r="K4" s="3" t="n">
        <v>6000</v>
      </c>
      <c r="L4" s="3" t="n">
        <v>6000</v>
      </c>
      <c r="M4" s="3" t="n">
        <v>6000</v>
      </c>
      <c r="N4" s="3" t="n">
        <v>6000</v>
      </c>
      <c r="O4" s="4">
        <f>SUM(C4:N4)</f>
        <v/>
      </c>
    </row>
    <row r="5" ht="20" customHeight="1">
      <c r="A5" s="3" t="inlineStr">
        <is>
          <t>E003</t>
        </is>
      </c>
      <c r="B5" s="3" t="inlineStr">
        <is>
          <t>王五</t>
        </is>
      </c>
      <c r="C5" s="3" t="n">
        <v>8800</v>
      </c>
      <c r="D5" s="3" t="n">
        <v>8800</v>
      </c>
      <c r="E5" s="3" t="n">
        <v>9200</v>
      </c>
      <c r="F5" s="3" t="n">
        <v>9500</v>
      </c>
      <c r="G5" s="3" t="n">
        <v>9500</v>
      </c>
      <c r="H5" s="3" t="n">
        <v>9500</v>
      </c>
      <c r="I5" s="3" t="n">
        <v>9500</v>
      </c>
      <c r="J5" s="3" t="n">
        <v>9500</v>
      </c>
      <c r="K5" s="3" t="n">
        <v>9800</v>
      </c>
      <c r="L5" s="3" t="n">
        <v>9800</v>
      </c>
      <c r="M5" s="3" t="n">
        <v>10200</v>
      </c>
      <c r="N5" s="3" t="n">
        <v>10200</v>
      </c>
      <c r="O5" s="4">
        <f>SUM(C5:N5)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5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5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5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5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5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5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5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5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5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5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5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5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5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5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5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5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5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5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5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5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5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5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5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5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5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5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5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5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5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5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5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5" t="n"/>
    </row>
    <row r="43">
      <c r="A43" s="6" t="inlineStr">
        <is>
          <t>说明：① 全年合计列使用公式 =SUM(C:N) 自动汇总。② 按月录入税前应发工资，缺月按0计入。③ 本页数值将被「年终奖计算」表引用。</t>
        </is>
      </c>
    </row>
  </sheetData>
  <mergeCells count="2">
    <mergeCell ref="A1:O1"/>
    <mergeCell ref="A43:O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4" customWidth="1" min="4" max="4"/>
    <col width="13" customWidth="1" min="5" max="5"/>
    <col width="10" customWidth="1" min="6" max="6"/>
    <col width="14" customWidth="1" min="7" max="7"/>
    <col width="9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 ht="32" customHeight="1">
      <c r="A1" s="1" t="inlineStr">
        <is>
          <t>年终奖自动计算表（全年一次性奖金 · 单独计税）</t>
        </is>
      </c>
    </row>
    <row r="3">
      <c r="A3" s="7" t="inlineStr">
        <is>
          <t>一、奖金参数（灰底，可修改数值）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6" t="n"/>
    </row>
    <row r="5">
      <c r="C5" s="7" t="inlineStr">
        <is>
          <t>发放月份</t>
        </is>
      </c>
      <c r="D5" s="8" t="inlineStr">
        <is>
          <t>2025年度</t>
        </is>
      </c>
      <c r="F5" s="9" t="inlineStr">
        <is>
          <t>本期奖金的所属年度/发放期标识</t>
        </is>
      </c>
    </row>
    <row r="6">
      <c r="C6" s="7" t="inlineStr">
        <is>
          <t>参与系数(月数)</t>
        </is>
      </c>
      <c r="D6" s="8" t="n">
        <v>12</v>
      </c>
      <c r="F6" s="9" t="inlineStr">
        <is>
          <t>取全年12个月均工资；如按实际出勤月可改</t>
        </is>
      </c>
    </row>
    <row r="7">
      <c r="C7" s="7" t="inlineStr">
        <is>
          <t>奖金系数</t>
        </is>
      </c>
      <c r="D7" s="8" t="n">
        <v>1.5</v>
      </c>
      <c r="F7" s="9" t="inlineStr">
        <is>
          <t>年终奖 = 月均工资 × 该系数</t>
        </is>
      </c>
    </row>
    <row r="10">
      <c r="A10" s="7" t="inlineStr">
        <is>
          <t>二、人员年终奖计算（黄色=自动计算，绿色=最终实发）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6" t="n"/>
    </row>
    <row r="11" ht="24" customHeight="1">
      <c r="A11" s="2" t="inlineStr">
        <is>
          <t>序号</t>
        </is>
      </c>
      <c r="B11" s="2" t="inlineStr">
        <is>
          <t>员工编号</t>
        </is>
      </c>
      <c r="C11" s="2" t="inlineStr">
        <is>
          <t>姓名</t>
        </is>
      </c>
      <c r="D11" s="2" t="inlineStr">
        <is>
          <t>全年应发合计(元)</t>
        </is>
      </c>
      <c r="E11" s="2" t="inlineStr">
        <is>
          <t>月均工资(元)</t>
        </is>
      </c>
      <c r="F11" s="2" t="inlineStr">
        <is>
          <t>奖金系数</t>
        </is>
      </c>
      <c r="G11" s="2" t="inlineStr">
        <is>
          <t>年终奖(元)</t>
        </is>
      </c>
      <c r="H11" s="2" t="inlineStr">
        <is>
          <t>适用税率</t>
        </is>
      </c>
      <c r="I11" s="2" t="inlineStr">
        <is>
          <t>速算扣除数</t>
        </is>
      </c>
      <c r="J11" s="2" t="inlineStr">
        <is>
          <t>个税(元)</t>
        </is>
      </c>
      <c r="K11" s="2" t="inlineStr">
        <is>
          <t>实发奖金(元)</t>
        </is>
      </c>
      <c r="L11" s="2" t="inlineStr">
        <is>
          <t>备注</t>
        </is>
      </c>
    </row>
    <row r="12" ht="20" customHeight="1">
      <c r="A12" s="10" t="n">
        <v>1</v>
      </c>
      <c r="B12" s="10" t="inlineStr">
        <is>
          <t>E001</t>
        </is>
      </c>
      <c r="C12" s="10" t="inlineStr">
        <is>
          <t>张三</t>
        </is>
      </c>
      <c r="D12" s="11">
        <f>IF(B12&lt;&gt;"",INDEX(工资明细!$O$3:$O$40,MATCH(B12,工资明细!$A$3:$A$40,0)),"")</f>
        <v/>
      </c>
      <c r="E12" s="11">
        <f>IF(B12="","",IF($D$6&gt;0,D12/$D$6,0))</f>
        <v/>
      </c>
      <c r="F12" s="12">
        <f>$D$7</f>
        <v/>
      </c>
      <c r="G12" s="11">
        <f>IF(B12="","",E12*F12)</f>
        <v/>
      </c>
      <c r="H12" s="13">
        <f>IF(B12="","",IF(G12/12&lt;=3000,3%,IF(G12/12&lt;=12000,10%,IF(G12/12&lt;=25000,20%,IF(G12/12&lt;=35000,25%,IF(G12/12&lt;=55000,30%,IF(G12/12&lt;=80000,35%,45%)))))))</f>
        <v/>
      </c>
      <c r="I12" s="12">
        <f>IF(B12="","",IF(G12/12&lt;=3000,0,IF(G12/12&lt;=12000,210,IF(G12/12&lt;=25000,1410,IF(G12/12&lt;=35000,2660,IF(G12/12&lt;=55000,4410,IF(G12/12&lt;=80000,7160,15160)))))))</f>
        <v/>
      </c>
      <c r="J12" s="11">
        <f>IF(B12="","",MAX(0,ROUND(G12*H12-I12,2)))</f>
        <v/>
      </c>
      <c r="K12" s="14">
        <f>IF(B12="","",G12-J12)</f>
        <v/>
      </c>
      <c r="L12" s="10" t="inlineStr">
        <is>
          <t>单独计税</t>
        </is>
      </c>
    </row>
    <row r="13" ht="20" customHeight="1">
      <c r="A13" s="10" t="n">
        <v>2</v>
      </c>
      <c r="B13" s="10" t="inlineStr">
        <is>
          <t>E002</t>
        </is>
      </c>
      <c r="C13" s="10" t="inlineStr">
        <is>
          <t>李四</t>
        </is>
      </c>
      <c r="D13" s="11">
        <f>IF(B13&lt;&gt;"",INDEX(工资明细!$O$3:$O$40,MATCH(B13,工资明细!$A$3:$A$40,0)),"")</f>
        <v/>
      </c>
      <c r="E13" s="11">
        <f>IF(B13="","",IF($D$6&gt;0,D13/$D$6,0))</f>
        <v/>
      </c>
      <c r="F13" s="12">
        <f>$D$7</f>
        <v/>
      </c>
      <c r="G13" s="11">
        <f>IF(B13="","",E13*F13)</f>
        <v/>
      </c>
      <c r="H13" s="13">
        <f>IF(B13="","",IF(G13/12&lt;=3000,3%,IF(G13/12&lt;=12000,10%,IF(G13/12&lt;=25000,20%,IF(G13/12&lt;=35000,25%,IF(G13/12&lt;=55000,30%,IF(G13/12&lt;=80000,35%,45%)))))))</f>
        <v/>
      </c>
      <c r="I13" s="12">
        <f>IF(B13="","",IF(G13/12&lt;=3000,0,IF(G13/12&lt;=12000,210,IF(G13/12&lt;=25000,1410,IF(G13/12&lt;=35000,2660,IF(G13/12&lt;=55000,4410,IF(G13/12&lt;=80000,7160,15160)))))))</f>
        <v/>
      </c>
      <c r="J13" s="11">
        <f>IF(B13="","",MAX(0,ROUND(G13*H13-I13,2)))</f>
        <v/>
      </c>
      <c r="K13" s="14">
        <f>IF(B13="","",G13-J13)</f>
        <v/>
      </c>
      <c r="L13" s="10" t="inlineStr">
        <is>
          <t>单独计税</t>
        </is>
      </c>
    </row>
    <row r="14" ht="20" customHeight="1">
      <c r="A14" s="10" t="n">
        <v>3</v>
      </c>
      <c r="B14" s="10" t="inlineStr">
        <is>
          <t>E003</t>
        </is>
      </c>
      <c r="C14" s="10" t="inlineStr">
        <is>
          <t>王五</t>
        </is>
      </c>
      <c r="D14" s="11">
        <f>IF(B14&lt;&gt;"",INDEX(工资明细!$O$3:$O$40,MATCH(B14,工资明细!$A$3:$A$40,0)),"")</f>
        <v/>
      </c>
      <c r="E14" s="11">
        <f>IF(B14="","",IF($D$6&gt;0,D14/$D$6,0))</f>
        <v/>
      </c>
      <c r="F14" s="12">
        <f>$D$7</f>
        <v/>
      </c>
      <c r="G14" s="11">
        <f>IF(B14="","",E14*F14)</f>
        <v/>
      </c>
      <c r="H14" s="13">
        <f>IF(B14="","",IF(G14/12&lt;=3000,3%,IF(G14/12&lt;=12000,10%,IF(G14/12&lt;=25000,20%,IF(G14/12&lt;=35000,25%,IF(G14/12&lt;=55000,30%,IF(G14/12&lt;=80000,35%,45%)))))))</f>
        <v/>
      </c>
      <c r="I14" s="12">
        <f>IF(B14="","",IF(G14/12&lt;=3000,0,IF(G14/12&lt;=12000,210,IF(G14/12&lt;=25000,1410,IF(G14/12&lt;=35000,2660,IF(G14/12&lt;=55000,4410,IF(G14/12&lt;=80000,7160,15160)))))))</f>
        <v/>
      </c>
      <c r="J14" s="11">
        <f>IF(B14="","",MAX(0,ROUND(G14*H14-I14,2)))</f>
        <v/>
      </c>
      <c r="K14" s="14">
        <f>IF(B14="","",G14-J14)</f>
        <v/>
      </c>
      <c r="L14" s="10" t="inlineStr">
        <is>
          <t>单独计税</t>
        </is>
      </c>
    </row>
    <row r="15" ht="20" customHeight="1">
      <c r="A15" s="10" t="n">
        <v>4</v>
      </c>
      <c r="B15" s="10" t="inlineStr"/>
      <c r="C15" s="10" t="inlineStr"/>
      <c r="D15" s="11">
        <f>IF(B15&lt;&gt;"",INDEX(工资明细!$O$3:$O$40,MATCH(B15,工资明细!$A$3:$A$40,0)),"")</f>
        <v/>
      </c>
      <c r="E15" s="11">
        <f>IF(B15="","",IF($D$6&gt;0,D15/$D$6,0))</f>
        <v/>
      </c>
      <c r="F15" s="12">
        <f>$D$7</f>
        <v/>
      </c>
      <c r="G15" s="11">
        <f>IF(B15="","",E15*F15)</f>
        <v/>
      </c>
      <c r="H15" s="13">
        <f>IF(B15="","",IF(G15/12&lt;=3000,3%,IF(G15/12&lt;=12000,10%,IF(G15/12&lt;=25000,20%,IF(G15/12&lt;=35000,25%,IF(G15/12&lt;=55000,30%,IF(G15/12&lt;=80000,35%,45%)))))))</f>
        <v/>
      </c>
      <c r="I15" s="12">
        <f>IF(B15="","",IF(G15/12&lt;=3000,0,IF(G15/12&lt;=12000,210,IF(G15/12&lt;=25000,1410,IF(G15/12&lt;=35000,2660,IF(G15/12&lt;=55000,4410,IF(G15/12&lt;=80000,7160,15160)))))))</f>
        <v/>
      </c>
      <c r="J15" s="11">
        <f>IF(B15="","",MAX(0,ROUND(G15*H15-I15,2)))</f>
        <v/>
      </c>
      <c r="K15" s="14">
        <f>IF(B15="","",G15-J15)</f>
        <v/>
      </c>
      <c r="L15" s="10" t="inlineStr">
        <is>
          <t>单独计税</t>
        </is>
      </c>
    </row>
    <row r="16" ht="20" customHeight="1">
      <c r="A16" s="10" t="n">
        <v>5</v>
      </c>
      <c r="B16" s="10" t="inlineStr"/>
      <c r="C16" s="10" t="inlineStr"/>
      <c r="D16" s="11">
        <f>IF(B16&lt;&gt;"",INDEX(工资明细!$O$3:$O$40,MATCH(B16,工资明细!$A$3:$A$40,0)),"")</f>
        <v/>
      </c>
      <c r="E16" s="11">
        <f>IF(B16="","",IF($D$6&gt;0,D16/$D$6,0))</f>
        <v/>
      </c>
      <c r="F16" s="12">
        <f>$D$7</f>
        <v/>
      </c>
      <c r="G16" s="11">
        <f>IF(B16="","",E16*F16)</f>
        <v/>
      </c>
      <c r="H16" s="13">
        <f>IF(B16="","",IF(G16/12&lt;=3000,3%,IF(G16/12&lt;=12000,10%,IF(G16/12&lt;=25000,20%,IF(G16/12&lt;=35000,25%,IF(G16/12&lt;=55000,30%,IF(G16/12&lt;=80000,35%,45%)))))))</f>
        <v/>
      </c>
      <c r="I16" s="12">
        <f>IF(B16="","",IF(G16/12&lt;=3000,0,IF(G16/12&lt;=12000,210,IF(G16/12&lt;=25000,1410,IF(G16/12&lt;=35000,2660,IF(G16/12&lt;=55000,4410,IF(G16/12&lt;=80000,7160,15160)))))))</f>
        <v/>
      </c>
      <c r="J16" s="11">
        <f>IF(B16="","",MAX(0,ROUND(G16*H16-I16,2)))</f>
        <v/>
      </c>
      <c r="K16" s="14">
        <f>IF(B16="","",G16-J16)</f>
        <v/>
      </c>
      <c r="L16" s="10" t="inlineStr">
        <is>
          <t>单独计税</t>
        </is>
      </c>
    </row>
    <row r="17" ht="20" customHeight="1">
      <c r="A17" s="10" t="n">
        <v>6</v>
      </c>
      <c r="B17" s="10" t="inlineStr"/>
      <c r="C17" s="10" t="inlineStr"/>
      <c r="D17" s="11">
        <f>IF(B17&lt;&gt;"",INDEX(工资明细!$O$3:$O$40,MATCH(B17,工资明细!$A$3:$A$40,0)),"")</f>
        <v/>
      </c>
      <c r="E17" s="11">
        <f>IF(B17="","",IF($D$6&gt;0,D17/$D$6,0))</f>
        <v/>
      </c>
      <c r="F17" s="12">
        <f>$D$7</f>
        <v/>
      </c>
      <c r="G17" s="11">
        <f>IF(B17="","",E17*F17)</f>
        <v/>
      </c>
      <c r="H17" s="13">
        <f>IF(B17="","",IF(G17/12&lt;=3000,3%,IF(G17/12&lt;=12000,10%,IF(G17/12&lt;=25000,20%,IF(G17/12&lt;=35000,25%,IF(G17/12&lt;=55000,30%,IF(G17/12&lt;=80000,35%,45%)))))))</f>
        <v/>
      </c>
      <c r="I17" s="12">
        <f>IF(B17="","",IF(G17/12&lt;=3000,0,IF(G17/12&lt;=12000,210,IF(G17/12&lt;=25000,1410,IF(G17/12&lt;=35000,2660,IF(G17/12&lt;=55000,4410,IF(G17/12&lt;=80000,7160,15160)))))))</f>
        <v/>
      </c>
      <c r="J17" s="11">
        <f>IF(B17="","",MAX(0,ROUND(G17*H17-I17,2)))</f>
        <v/>
      </c>
      <c r="K17" s="14">
        <f>IF(B17="","",G17-J17)</f>
        <v/>
      </c>
      <c r="L17" s="10" t="inlineStr">
        <is>
          <t>单独计税</t>
        </is>
      </c>
    </row>
    <row r="18" ht="20" customHeight="1">
      <c r="A18" s="10" t="n">
        <v>7</v>
      </c>
      <c r="B18" s="10" t="inlineStr"/>
      <c r="C18" s="10" t="inlineStr"/>
      <c r="D18" s="11">
        <f>IF(B18&lt;&gt;"",INDEX(工资明细!$O$3:$O$40,MATCH(B18,工资明细!$A$3:$A$40,0)),"")</f>
        <v/>
      </c>
      <c r="E18" s="11">
        <f>IF(B18="","",IF($D$6&gt;0,D18/$D$6,0))</f>
        <v/>
      </c>
      <c r="F18" s="12">
        <f>$D$7</f>
        <v/>
      </c>
      <c r="G18" s="11">
        <f>IF(B18="","",E18*F18)</f>
        <v/>
      </c>
      <c r="H18" s="13">
        <f>IF(B18="","",IF(G18/12&lt;=3000,3%,IF(G18/12&lt;=12000,10%,IF(G18/12&lt;=25000,20%,IF(G18/12&lt;=35000,25%,IF(G18/12&lt;=55000,30%,IF(G18/12&lt;=80000,35%,45%)))))))</f>
        <v/>
      </c>
      <c r="I18" s="12">
        <f>IF(B18="","",IF(G18/12&lt;=3000,0,IF(G18/12&lt;=12000,210,IF(G18/12&lt;=25000,1410,IF(G18/12&lt;=35000,2660,IF(G18/12&lt;=55000,4410,IF(G18/12&lt;=80000,7160,15160)))))))</f>
        <v/>
      </c>
      <c r="J18" s="11">
        <f>IF(B18="","",MAX(0,ROUND(G18*H18-I18,2)))</f>
        <v/>
      </c>
      <c r="K18" s="14">
        <f>IF(B18="","",G18-J18)</f>
        <v/>
      </c>
      <c r="L18" s="10" t="inlineStr">
        <is>
          <t>单独计税</t>
        </is>
      </c>
    </row>
    <row r="19" ht="20" customHeight="1">
      <c r="A19" s="10" t="n">
        <v>8</v>
      </c>
      <c r="B19" s="10" t="inlineStr"/>
      <c r="C19" s="10" t="inlineStr"/>
      <c r="D19" s="11">
        <f>IF(B19&lt;&gt;"",INDEX(工资明细!$O$3:$O$40,MATCH(B19,工资明细!$A$3:$A$40,0)),"")</f>
        <v/>
      </c>
      <c r="E19" s="11">
        <f>IF(B19="","",IF($D$6&gt;0,D19/$D$6,0))</f>
        <v/>
      </c>
      <c r="F19" s="12">
        <f>$D$7</f>
        <v/>
      </c>
      <c r="G19" s="11">
        <f>IF(B19="","",E19*F19)</f>
        <v/>
      </c>
      <c r="H19" s="13">
        <f>IF(B19="","",IF(G19/12&lt;=3000,3%,IF(G19/12&lt;=12000,10%,IF(G19/12&lt;=25000,20%,IF(G19/12&lt;=35000,25%,IF(G19/12&lt;=55000,30%,IF(G19/12&lt;=80000,35%,45%)))))))</f>
        <v/>
      </c>
      <c r="I19" s="12">
        <f>IF(B19="","",IF(G19/12&lt;=3000,0,IF(G19/12&lt;=12000,210,IF(G19/12&lt;=25000,1410,IF(G19/12&lt;=35000,2660,IF(G19/12&lt;=55000,4410,IF(G19/12&lt;=80000,7160,15160)))))))</f>
        <v/>
      </c>
      <c r="J19" s="11">
        <f>IF(B19="","",MAX(0,ROUND(G19*H19-I19,2)))</f>
        <v/>
      </c>
      <c r="K19" s="14">
        <f>IF(B19="","",G19-J19)</f>
        <v/>
      </c>
      <c r="L19" s="10" t="inlineStr">
        <is>
          <t>单独计税</t>
        </is>
      </c>
    </row>
    <row r="20" ht="20" customHeight="1">
      <c r="A20" s="10" t="n">
        <v>9</v>
      </c>
      <c r="B20" s="10" t="inlineStr"/>
      <c r="C20" s="10" t="inlineStr"/>
      <c r="D20" s="11">
        <f>IF(B20&lt;&gt;"",INDEX(工资明细!$O$3:$O$40,MATCH(B20,工资明细!$A$3:$A$40,0)),"")</f>
        <v/>
      </c>
      <c r="E20" s="11">
        <f>IF(B20="","",IF($D$6&gt;0,D20/$D$6,0))</f>
        <v/>
      </c>
      <c r="F20" s="12">
        <f>$D$7</f>
        <v/>
      </c>
      <c r="G20" s="11">
        <f>IF(B20="","",E20*F20)</f>
        <v/>
      </c>
      <c r="H20" s="13">
        <f>IF(B20="","",IF(G20/12&lt;=3000,3%,IF(G20/12&lt;=12000,10%,IF(G20/12&lt;=25000,20%,IF(G20/12&lt;=35000,25%,IF(G20/12&lt;=55000,30%,IF(G20/12&lt;=80000,35%,45%)))))))</f>
        <v/>
      </c>
      <c r="I20" s="12">
        <f>IF(B20="","",IF(G20/12&lt;=3000,0,IF(G20/12&lt;=12000,210,IF(G20/12&lt;=25000,1410,IF(G20/12&lt;=35000,2660,IF(G20/12&lt;=55000,4410,IF(G20/12&lt;=80000,7160,15160)))))))</f>
        <v/>
      </c>
      <c r="J20" s="11">
        <f>IF(B20="","",MAX(0,ROUND(G20*H20-I20,2)))</f>
        <v/>
      </c>
      <c r="K20" s="14">
        <f>IF(B20="","",G20-J20)</f>
        <v/>
      </c>
      <c r="L20" s="10" t="inlineStr">
        <is>
          <t>单独计税</t>
        </is>
      </c>
    </row>
    <row r="21" ht="20" customHeight="1">
      <c r="A21" s="10" t="n">
        <v>10</v>
      </c>
      <c r="B21" s="10" t="inlineStr"/>
      <c r="C21" s="10" t="inlineStr"/>
      <c r="D21" s="11">
        <f>IF(B21&lt;&gt;"",INDEX(工资明细!$O$3:$O$40,MATCH(B21,工资明细!$A$3:$A$40,0)),"")</f>
        <v/>
      </c>
      <c r="E21" s="11">
        <f>IF(B21="","",IF($D$6&gt;0,D21/$D$6,0))</f>
        <v/>
      </c>
      <c r="F21" s="12">
        <f>$D$7</f>
        <v/>
      </c>
      <c r="G21" s="11">
        <f>IF(B21="","",E21*F21)</f>
        <v/>
      </c>
      <c r="H21" s="13">
        <f>IF(B21="","",IF(G21/12&lt;=3000,3%,IF(G21/12&lt;=12000,10%,IF(G21/12&lt;=25000,20%,IF(G21/12&lt;=35000,25%,IF(G21/12&lt;=55000,30%,IF(G21/12&lt;=80000,35%,45%)))))))</f>
        <v/>
      </c>
      <c r="I21" s="12">
        <f>IF(B21="","",IF(G21/12&lt;=3000,0,IF(G21/12&lt;=12000,210,IF(G21/12&lt;=25000,1410,IF(G21/12&lt;=35000,2660,IF(G21/12&lt;=55000,4410,IF(G21/12&lt;=80000,7160,15160)))))))</f>
        <v/>
      </c>
      <c r="J21" s="11">
        <f>IF(B21="","",MAX(0,ROUND(G21*H21-I21,2)))</f>
        <v/>
      </c>
      <c r="K21" s="14">
        <f>IF(B21="","",G21-J21)</f>
        <v/>
      </c>
      <c r="L21" s="10" t="inlineStr">
        <is>
          <t>单独计税</t>
        </is>
      </c>
    </row>
    <row r="22" ht="20" customHeight="1">
      <c r="A22" s="10" t="n">
        <v>11</v>
      </c>
      <c r="B22" s="10" t="inlineStr"/>
      <c r="C22" s="10" t="inlineStr"/>
      <c r="D22" s="11">
        <f>IF(B22&lt;&gt;"",INDEX(工资明细!$O$3:$O$40,MATCH(B22,工资明细!$A$3:$A$40,0)),"")</f>
        <v/>
      </c>
      <c r="E22" s="11">
        <f>IF(B22="","",IF($D$6&gt;0,D22/$D$6,0))</f>
        <v/>
      </c>
      <c r="F22" s="12">
        <f>$D$7</f>
        <v/>
      </c>
      <c r="G22" s="11">
        <f>IF(B22="","",E22*F22)</f>
        <v/>
      </c>
      <c r="H22" s="13">
        <f>IF(B22="","",IF(G22/12&lt;=3000,3%,IF(G22/12&lt;=12000,10%,IF(G22/12&lt;=25000,20%,IF(G22/12&lt;=35000,25%,IF(G22/12&lt;=55000,30%,IF(G22/12&lt;=80000,35%,45%)))))))</f>
        <v/>
      </c>
      <c r="I22" s="12">
        <f>IF(B22="","",IF(G22/12&lt;=3000,0,IF(G22/12&lt;=12000,210,IF(G22/12&lt;=25000,1410,IF(G22/12&lt;=35000,2660,IF(G22/12&lt;=55000,4410,IF(G22/12&lt;=80000,7160,15160)))))))</f>
        <v/>
      </c>
      <c r="J22" s="11">
        <f>IF(B22="","",MAX(0,ROUND(G22*H22-I22,2)))</f>
        <v/>
      </c>
      <c r="K22" s="14">
        <f>IF(B22="","",G22-J22)</f>
        <v/>
      </c>
      <c r="L22" s="10" t="inlineStr">
        <is>
          <t>单独计税</t>
        </is>
      </c>
    </row>
    <row r="23" ht="20" customHeight="1">
      <c r="A23" s="10" t="n">
        <v>12</v>
      </c>
      <c r="B23" s="10" t="inlineStr"/>
      <c r="C23" s="10" t="inlineStr"/>
      <c r="D23" s="11">
        <f>IF(B23&lt;&gt;"",INDEX(工资明细!$O$3:$O$40,MATCH(B23,工资明细!$A$3:$A$40,0)),"")</f>
        <v/>
      </c>
      <c r="E23" s="11">
        <f>IF(B23="","",IF($D$6&gt;0,D23/$D$6,0))</f>
        <v/>
      </c>
      <c r="F23" s="12">
        <f>$D$7</f>
        <v/>
      </c>
      <c r="G23" s="11">
        <f>IF(B23="","",E23*F23)</f>
        <v/>
      </c>
      <c r="H23" s="13">
        <f>IF(B23="","",IF(G23/12&lt;=3000,3%,IF(G23/12&lt;=12000,10%,IF(G23/12&lt;=25000,20%,IF(G23/12&lt;=35000,25%,IF(G23/12&lt;=55000,30%,IF(G23/12&lt;=80000,35%,45%)))))))</f>
        <v/>
      </c>
      <c r="I23" s="12">
        <f>IF(B23="","",IF(G23/12&lt;=3000,0,IF(G23/12&lt;=12000,210,IF(G23/12&lt;=25000,1410,IF(G23/12&lt;=35000,2660,IF(G23/12&lt;=55000,4410,IF(G23/12&lt;=80000,7160,15160)))))))</f>
        <v/>
      </c>
      <c r="J23" s="11">
        <f>IF(B23="","",MAX(0,ROUND(G23*H23-I23,2)))</f>
        <v/>
      </c>
      <c r="K23" s="14">
        <f>IF(B23="","",G23-J23)</f>
        <v/>
      </c>
      <c r="L23" s="10" t="inlineStr">
        <is>
          <t>单独计税</t>
        </is>
      </c>
    </row>
    <row r="24" ht="20" customHeight="1">
      <c r="A24" s="10" t="n">
        <v>13</v>
      </c>
      <c r="B24" s="10" t="inlineStr"/>
      <c r="C24" s="10" t="inlineStr"/>
      <c r="D24" s="11">
        <f>IF(B24&lt;&gt;"",INDEX(工资明细!$O$3:$O$40,MATCH(B24,工资明细!$A$3:$A$40,0)),"")</f>
        <v/>
      </c>
      <c r="E24" s="11">
        <f>IF(B24="","",IF($D$6&gt;0,D24/$D$6,0))</f>
        <v/>
      </c>
      <c r="F24" s="12">
        <f>$D$7</f>
        <v/>
      </c>
      <c r="G24" s="11">
        <f>IF(B24="","",E24*F24)</f>
        <v/>
      </c>
      <c r="H24" s="13">
        <f>IF(B24="","",IF(G24/12&lt;=3000,3%,IF(G24/12&lt;=12000,10%,IF(G24/12&lt;=25000,20%,IF(G24/12&lt;=35000,25%,IF(G24/12&lt;=55000,30%,IF(G24/12&lt;=80000,35%,45%)))))))</f>
        <v/>
      </c>
      <c r="I24" s="12">
        <f>IF(B24="","",IF(G24/12&lt;=3000,0,IF(G24/12&lt;=12000,210,IF(G24/12&lt;=25000,1410,IF(G24/12&lt;=35000,2660,IF(G24/12&lt;=55000,4410,IF(G24/12&lt;=80000,7160,15160)))))))</f>
        <v/>
      </c>
      <c r="J24" s="11">
        <f>IF(B24="","",MAX(0,ROUND(G24*H24-I24,2)))</f>
        <v/>
      </c>
      <c r="K24" s="14">
        <f>IF(B24="","",G24-J24)</f>
        <v/>
      </c>
      <c r="L24" s="10" t="inlineStr">
        <is>
          <t>单独计税</t>
        </is>
      </c>
    </row>
    <row r="25" ht="20" customHeight="1">
      <c r="A25" s="10" t="n">
        <v>14</v>
      </c>
      <c r="B25" s="10" t="inlineStr"/>
      <c r="C25" s="10" t="inlineStr"/>
      <c r="D25" s="11">
        <f>IF(B25&lt;&gt;"",INDEX(工资明细!$O$3:$O$40,MATCH(B25,工资明细!$A$3:$A$40,0)),"")</f>
        <v/>
      </c>
      <c r="E25" s="11">
        <f>IF(B25="","",IF($D$6&gt;0,D25/$D$6,0))</f>
        <v/>
      </c>
      <c r="F25" s="12">
        <f>$D$7</f>
        <v/>
      </c>
      <c r="G25" s="11">
        <f>IF(B25="","",E25*F25)</f>
        <v/>
      </c>
      <c r="H25" s="13">
        <f>IF(B25="","",IF(G25/12&lt;=3000,3%,IF(G25/12&lt;=12000,10%,IF(G25/12&lt;=25000,20%,IF(G25/12&lt;=35000,25%,IF(G25/12&lt;=55000,30%,IF(G25/12&lt;=80000,35%,45%)))))))</f>
        <v/>
      </c>
      <c r="I25" s="12">
        <f>IF(B25="","",IF(G25/12&lt;=3000,0,IF(G25/12&lt;=12000,210,IF(G25/12&lt;=25000,1410,IF(G25/12&lt;=35000,2660,IF(G25/12&lt;=55000,4410,IF(G25/12&lt;=80000,7160,15160)))))))</f>
        <v/>
      </c>
      <c r="J25" s="11">
        <f>IF(B25="","",MAX(0,ROUND(G25*H25-I25,2)))</f>
        <v/>
      </c>
      <c r="K25" s="14">
        <f>IF(B25="","",G25-J25)</f>
        <v/>
      </c>
      <c r="L25" s="10" t="inlineStr">
        <is>
          <t>单独计税</t>
        </is>
      </c>
    </row>
    <row r="26" ht="20" customHeight="1">
      <c r="A26" s="10" t="n">
        <v>15</v>
      </c>
      <c r="B26" s="10" t="inlineStr"/>
      <c r="C26" s="10" t="inlineStr"/>
      <c r="D26" s="11">
        <f>IF(B26&lt;&gt;"",INDEX(工资明细!$O$3:$O$40,MATCH(B26,工资明细!$A$3:$A$40,0)),"")</f>
        <v/>
      </c>
      <c r="E26" s="11">
        <f>IF(B26="","",IF($D$6&gt;0,D26/$D$6,0))</f>
        <v/>
      </c>
      <c r="F26" s="12">
        <f>$D$7</f>
        <v/>
      </c>
      <c r="G26" s="11">
        <f>IF(B26="","",E26*F26)</f>
        <v/>
      </c>
      <c r="H26" s="13">
        <f>IF(B26="","",IF(G26/12&lt;=3000,3%,IF(G26/12&lt;=12000,10%,IF(G26/12&lt;=25000,20%,IF(G26/12&lt;=35000,25%,IF(G26/12&lt;=55000,30%,IF(G26/12&lt;=80000,35%,45%)))))))</f>
        <v/>
      </c>
      <c r="I26" s="12">
        <f>IF(B26="","",IF(G26/12&lt;=3000,0,IF(G26/12&lt;=12000,210,IF(G26/12&lt;=25000,1410,IF(G26/12&lt;=35000,2660,IF(G26/12&lt;=55000,4410,IF(G26/12&lt;=80000,7160,15160)))))))</f>
        <v/>
      </c>
      <c r="J26" s="11">
        <f>IF(B26="","",MAX(0,ROUND(G26*H26-I26,2)))</f>
        <v/>
      </c>
      <c r="K26" s="14">
        <f>IF(B26="","",G26-J26)</f>
        <v/>
      </c>
      <c r="L26" s="10" t="inlineStr">
        <is>
          <t>单独计税</t>
        </is>
      </c>
    </row>
    <row r="27" ht="20" customHeight="1">
      <c r="A27" s="10" t="n">
        <v>16</v>
      </c>
      <c r="B27" s="10" t="inlineStr"/>
      <c r="C27" s="10" t="inlineStr"/>
      <c r="D27" s="11">
        <f>IF(B27&lt;&gt;"",INDEX(工资明细!$O$3:$O$40,MATCH(B27,工资明细!$A$3:$A$40,0)),"")</f>
        <v/>
      </c>
      <c r="E27" s="11">
        <f>IF(B27="","",IF($D$6&gt;0,D27/$D$6,0))</f>
        <v/>
      </c>
      <c r="F27" s="12">
        <f>$D$7</f>
        <v/>
      </c>
      <c r="G27" s="11">
        <f>IF(B27="","",E27*F27)</f>
        <v/>
      </c>
      <c r="H27" s="13">
        <f>IF(B27="","",IF(G27/12&lt;=3000,3%,IF(G27/12&lt;=12000,10%,IF(G27/12&lt;=25000,20%,IF(G27/12&lt;=35000,25%,IF(G27/12&lt;=55000,30%,IF(G27/12&lt;=80000,35%,45%)))))))</f>
        <v/>
      </c>
      <c r="I27" s="12">
        <f>IF(B27="","",IF(G27/12&lt;=3000,0,IF(G27/12&lt;=12000,210,IF(G27/12&lt;=25000,1410,IF(G27/12&lt;=35000,2660,IF(G27/12&lt;=55000,4410,IF(G27/12&lt;=80000,7160,15160)))))))</f>
        <v/>
      </c>
      <c r="J27" s="11">
        <f>IF(B27="","",MAX(0,ROUND(G27*H27-I27,2)))</f>
        <v/>
      </c>
      <c r="K27" s="14">
        <f>IF(B27="","",G27-J27)</f>
        <v/>
      </c>
      <c r="L27" s="10" t="inlineStr">
        <is>
          <t>单独计税</t>
        </is>
      </c>
    </row>
    <row r="28" ht="20" customHeight="1">
      <c r="A28" s="10" t="n">
        <v>17</v>
      </c>
      <c r="B28" s="10" t="inlineStr"/>
      <c r="C28" s="10" t="inlineStr"/>
      <c r="D28" s="11">
        <f>IF(B28&lt;&gt;"",INDEX(工资明细!$O$3:$O$40,MATCH(B28,工资明细!$A$3:$A$40,0)),"")</f>
        <v/>
      </c>
      <c r="E28" s="11">
        <f>IF(B28="","",IF($D$6&gt;0,D28/$D$6,0))</f>
        <v/>
      </c>
      <c r="F28" s="12">
        <f>$D$7</f>
        <v/>
      </c>
      <c r="G28" s="11">
        <f>IF(B28="","",E28*F28)</f>
        <v/>
      </c>
      <c r="H28" s="13">
        <f>IF(B28="","",IF(G28/12&lt;=3000,3%,IF(G28/12&lt;=12000,10%,IF(G28/12&lt;=25000,20%,IF(G28/12&lt;=35000,25%,IF(G28/12&lt;=55000,30%,IF(G28/12&lt;=80000,35%,45%)))))))</f>
        <v/>
      </c>
      <c r="I28" s="12">
        <f>IF(B28="","",IF(G28/12&lt;=3000,0,IF(G28/12&lt;=12000,210,IF(G28/12&lt;=25000,1410,IF(G28/12&lt;=35000,2660,IF(G28/12&lt;=55000,4410,IF(G28/12&lt;=80000,7160,15160)))))))</f>
        <v/>
      </c>
      <c r="J28" s="11">
        <f>IF(B28="","",MAX(0,ROUND(G28*H28-I28,2)))</f>
        <v/>
      </c>
      <c r="K28" s="14">
        <f>IF(B28="","",G28-J28)</f>
        <v/>
      </c>
      <c r="L28" s="10" t="inlineStr">
        <is>
          <t>单独计税</t>
        </is>
      </c>
    </row>
    <row r="29" ht="20" customHeight="1">
      <c r="A29" s="10" t="n">
        <v>18</v>
      </c>
      <c r="B29" s="10" t="inlineStr"/>
      <c r="C29" s="10" t="inlineStr"/>
      <c r="D29" s="11">
        <f>IF(B29&lt;&gt;"",INDEX(工资明细!$O$3:$O$40,MATCH(B29,工资明细!$A$3:$A$40,0)),"")</f>
        <v/>
      </c>
      <c r="E29" s="11">
        <f>IF(B29="","",IF($D$6&gt;0,D29/$D$6,0))</f>
        <v/>
      </c>
      <c r="F29" s="12">
        <f>$D$7</f>
        <v/>
      </c>
      <c r="G29" s="11">
        <f>IF(B29="","",E29*F29)</f>
        <v/>
      </c>
      <c r="H29" s="13">
        <f>IF(B29="","",IF(G29/12&lt;=3000,3%,IF(G29/12&lt;=12000,10%,IF(G29/12&lt;=25000,20%,IF(G29/12&lt;=35000,25%,IF(G29/12&lt;=55000,30%,IF(G29/12&lt;=80000,35%,45%)))))))</f>
        <v/>
      </c>
      <c r="I29" s="12">
        <f>IF(B29="","",IF(G29/12&lt;=3000,0,IF(G29/12&lt;=12000,210,IF(G29/12&lt;=25000,1410,IF(G29/12&lt;=35000,2660,IF(G29/12&lt;=55000,4410,IF(G29/12&lt;=80000,7160,15160)))))))</f>
        <v/>
      </c>
      <c r="J29" s="11">
        <f>IF(B29="","",MAX(0,ROUND(G29*H29-I29,2)))</f>
        <v/>
      </c>
      <c r="K29" s="14">
        <f>IF(B29="","",G29-J29)</f>
        <v/>
      </c>
      <c r="L29" s="10" t="inlineStr">
        <is>
          <t>单独计税</t>
        </is>
      </c>
    </row>
    <row r="30" ht="20" customHeight="1">
      <c r="A30" s="10" t="n">
        <v>19</v>
      </c>
      <c r="B30" s="10" t="inlineStr"/>
      <c r="C30" s="10" t="inlineStr"/>
      <c r="D30" s="11">
        <f>IF(B30&lt;&gt;"",INDEX(工资明细!$O$3:$O$40,MATCH(B30,工资明细!$A$3:$A$40,0)),"")</f>
        <v/>
      </c>
      <c r="E30" s="11">
        <f>IF(B30="","",IF($D$6&gt;0,D30/$D$6,0))</f>
        <v/>
      </c>
      <c r="F30" s="12">
        <f>$D$7</f>
        <v/>
      </c>
      <c r="G30" s="11">
        <f>IF(B30="","",E30*F30)</f>
        <v/>
      </c>
      <c r="H30" s="13">
        <f>IF(B30="","",IF(G30/12&lt;=3000,3%,IF(G30/12&lt;=12000,10%,IF(G30/12&lt;=25000,20%,IF(G30/12&lt;=35000,25%,IF(G30/12&lt;=55000,30%,IF(G30/12&lt;=80000,35%,45%)))))))</f>
        <v/>
      </c>
      <c r="I30" s="12">
        <f>IF(B30="","",IF(G30/12&lt;=3000,0,IF(G30/12&lt;=12000,210,IF(G30/12&lt;=25000,1410,IF(G30/12&lt;=35000,2660,IF(G30/12&lt;=55000,4410,IF(G30/12&lt;=80000,7160,15160)))))))</f>
        <v/>
      </c>
      <c r="J30" s="11">
        <f>IF(B30="","",MAX(0,ROUND(G30*H30-I30,2)))</f>
        <v/>
      </c>
      <c r="K30" s="14">
        <f>IF(B30="","",G30-J30)</f>
        <v/>
      </c>
      <c r="L30" s="10" t="inlineStr">
        <is>
          <t>单独计税</t>
        </is>
      </c>
    </row>
    <row r="31" ht="20" customHeight="1">
      <c r="A31" s="10" t="n">
        <v>20</v>
      </c>
      <c r="B31" s="10" t="inlineStr"/>
      <c r="C31" s="10" t="inlineStr"/>
      <c r="D31" s="11">
        <f>IF(B31&lt;&gt;"",INDEX(工资明细!$O$3:$O$40,MATCH(B31,工资明细!$A$3:$A$40,0)),"")</f>
        <v/>
      </c>
      <c r="E31" s="11">
        <f>IF(B31="","",IF($D$6&gt;0,D31/$D$6,0))</f>
        <v/>
      </c>
      <c r="F31" s="12">
        <f>$D$7</f>
        <v/>
      </c>
      <c r="G31" s="11">
        <f>IF(B31="","",E31*F31)</f>
        <v/>
      </c>
      <c r="H31" s="13">
        <f>IF(B31="","",IF(G31/12&lt;=3000,3%,IF(G31/12&lt;=12000,10%,IF(G31/12&lt;=25000,20%,IF(G31/12&lt;=35000,25%,IF(G31/12&lt;=55000,30%,IF(G31/12&lt;=80000,35%,45%)))))))</f>
        <v/>
      </c>
      <c r="I31" s="12">
        <f>IF(B31="","",IF(G31/12&lt;=3000,0,IF(G31/12&lt;=12000,210,IF(G31/12&lt;=25000,1410,IF(G31/12&lt;=35000,2660,IF(G31/12&lt;=55000,4410,IF(G31/12&lt;=80000,7160,15160)))))))</f>
        <v/>
      </c>
      <c r="J31" s="11">
        <f>IF(B31="","",MAX(0,ROUND(G31*H31-I31,2)))</f>
        <v/>
      </c>
      <c r="K31" s="14">
        <f>IF(B31="","",G31-J31)</f>
        <v/>
      </c>
      <c r="L31" s="10" t="inlineStr">
        <is>
          <t>单独计税</t>
        </is>
      </c>
    </row>
    <row r="32" ht="20" customHeight="1">
      <c r="A32" s="10" t="n">
        <v>21</v>
      </c>
      <c r="B32" s="10" t="inlineStr"/>
      <c r="C32" s="10" t="inlineStr"/>
      <c r="D32" s="11">
        <f>IF(B32&lt;&gt;"",INDEX(工资明细!$O$3:$O$40,MATCH(B32,工资明细!$A$3:$A$40,0)),"")</f>
        <v/>
      </c>
      <c r="E32" s="11">
        <f>IF(B32="","",IF($D$6&gt;0,D32/$D$6,0))</f>
        <v/>
      </c>
      <c r="F32" s="12">
        <f>$D$7</f>
        <v/>
      </c>
      <c r="G32" s="11">
        <f>IF(B32="","",E32*F32)</f>
        <v/>
      </c>
      <c r="H32" s="13">
        <f>IF(B32="","",IF(G32/12&lt;=3000,3%,IF(G32/12&lt;=12000,10%,IF(G32/12&lt;=25000,20%,IF(G32/12&lt;=35000,25%,IF(G32/12&lt;=55000,30%,IF(G32/12&lt;=80000,35%,45%)))))))</f>
        <v/>
      </c>
      <c r="I32" s="12">
        <f>IF(B32="","",IF(G32/12&lt;=3000,0,IF(G32/12&lt;=12000,210,IF(G32/12&lt;=25000,1410,IF(G32/12&lt;=35000,2660,IF(G32/12&lt;=55000,4410,IF(G32/12&lt;=80000,7160,15160)))))))</f>
        <v/>
      </c>
      <c r="J32" s="11">
        <f>IF(B32="","",MAX(0,ROUND(G32*H32-I32,2)))</f>
        <v/>
      </c>
      <c r="K32" s="14">
        <f>IF(B32="","",G32-J32)</f>
        <v/>
      </c>
      <c r="L32" s="10" t="inlineStr">
        <is>
          <t>单独计税</t>
        </is>
      </c>
    </row>
    <row r="33" ht="20" customHeight="1">
      <c r="A33" s="10" t="n">
        <v>22</v>
      </c>
      <c r="B33" s="10" t="inlineStr"/>
      <c r="C33" s="10" t="inlineStr"/>
      <c r="D33" s="11">
        <f>IF(B33&lt;&gt;"",INDEX(工资明细!$O$3:$O$40,MATCH(B33,工资明细!$A$3:$A$40,0)),"")</f>
        <v/>
      </c>
      <c r="E33" s="11">
        <f>IF(B33="","",IF($D$6&gt;0,D33/$D$6,0))</f>
        <v/>
      </c>
      <c r="F33" s="12">
        <f>$D$7</f>
        <v/>
      </c>
      <c r="G33" s="11">
        <f>IF(B33="","",E33*F33)</f>
        <v/>
      </c>
      <c r="H33" s="13">
        <f>IF(B33="","",IF(G33/12&lt;=3000,3%,IF(G33/12&lt;=12000,10%,IF(G33/12&lt;=25000,20%,IF(G33/12&lt;=35000,25%,IF(G33/12&lt;=55000,30%,IF(G33/12&lt;=80000,35%,45%)))))))</f>
        <v/>
      </c>
      <c r="I33" s="12">
        <f>IF(B33="","",IF(G33/12&lt;=3000,0,IF(G33/12&lt;=12000,210,IF(G33/12&lt;=25000,1410,IF(G33/12&lt;=35000,2660,IF(G33/12&lt;=55000,4410,IF(G33/12&lt;=80000,7160,15160)))))))</f>
        <v/>
      </c>
      <c r="J33" s="11">
        <f>IF(B33="","",MAX(0,ROUND(G33*H33-I33,2)))</f>
        <v/>
      </c>
      <c r="K33" s="14">
        <f>IF(B33="","",G33-J33)</f>
        <v/>
      </c>
      <c r="L33" s="10" t="inlineStr">
        <is>
          <t>单独计税</t>
        </is>
      </c>
    </row>
    <row r="34" ht="20" customHeight="1">
      <c r="A34" s="10" t="n">
        <v>23</v>
      </c>
      <c r="B34" s="10" t="inlineStr"/>
      <c r="C34" s="10" t="inlineStr"/>
      <c r="D34" s="11">
        <f>IF(B34&lt;&gt;"",INDEX(工资明细!$O$3:$O$40,MATCH(B34,工资明细!$A$3:$A$40,0)),"")</f>
        <v/>
      </c>
      <c r="E34" s="11">
        <f>IF(B34="","",IF($D$6&gt;0,D34/$D$6,0))</f>
        <v/>
      </c>
      <c r="F34" s="12">
        <f>$D$7</f>
        <v/>
      </c>
      <c r="G34" s="11">
        <f>IF(B34="","",E34*F34)</f>
        <v/>
      </c>
      <c r="H34" s="13">
        <f>IF(B34="","",IF(G34/12&lt;=3000,3%,IF(G34/12&lt;=12000,10%,IF(G34/12&lt;=25000,20%,IF(G34/12&lt;=35000,25%,IF(G34/12&lt;=55000,30%,IF(G34/12&lt;=80000,35%,45%)))))))</f>
        <v/>
      </c>
      <c r="I34" s="12">
        <f>IF(B34="","",IF(G34/12&lt;=3000,0,IF(G34/12&lt;=12000,210,IF(G34/12&lt;=25000,1410,IF(G34/12&lt;=35000,2660,IF(G34/12&lt;=55000,4410,IF(G34/12&lt;=80000,7160,15160)))))))</f>
        <v/>
      </c>
      <c r="J34" s="11">
        <f>IF(B34="","",MAX(0,ROUND(G34*H34-I34,2)))</f>
        <v/>
      </c>
      <c r="K34" s="14">
        <f>IF(B34="","",G34-J34)</f>
        <v/>
      </c>
      <c r="L34" s="10" t="inlineStr">
        <is>
          <t>单独计税</t>
        </is>
      </c>
    </row>
    <row r="35" ht="20" customHeight="1">
      <c r="A35" s="10" t="n">
        <v>24</v>
      </c>
      <c r="B35" s="10" t="inlineStr"/>
      <c r="C35" s="10" t="inlineStr"/>
      <c r="D35" s="11">
        <f>IF(B35&lt;&gt;"",INDEX(工资明细!$O$3:$O$40,MATCH(B35,工资明细!$A$3:$A$40,0)),"")</f>
        <v/>
      </c>
      <c r="E35" s="11">
        <f>IF(B35="","",IF($D$6&gt;0,D35/$D$6,0))</f>
        <v/>
      </c>
      <c r="F35" s="12">
        <f>$D$7</f>
        <v/>
      </c>
      <c r="G35" s="11">
        <f>IF(B35="","",E35*F35)</f>
        <v/>
      </c>
      <c r="H35" s="13">
        <f>IF(B35="","",IF(G35/12&lt;=3000,3%,IF(G35/12&lt;=12000,10%,IF(G35/12&lt;=25000,20%,IF(G35/12&lt;=35000,25%,IF(G35/12&lt;=55000,30%,IF(G35/12&lt;=80000,35%,45%)))))))</f>
        <v/>
      </c>
      <c r="I35" s="12">
        <f>IF(B35="","",IF(G35/12&lt;=3000,0,IF(G35/12&lt;=12000,210,IF(G35/12&lt;=25000,1410,IF(G35/12&lt;=35000,2660,IF(G35/12&lt;=55000,4410,IF(G35/12&lt;=80000,7160,15160)))))))</f>
        <v/>
      </c>
      <c r="J35" s="11">
        <f>IF(B35="","",MAX(0,ROUND(G35*H35-I35,2)))</f>
        <v/>
      </c>
      <c r="K35" s="14">
        <f>IF(B35="","",G35-J35)</f>
        <v/>
      </c>
      <c r="L35" s="10" t="inlineStr">
        <is>
          <t>单独计税</t>
        </is>
      </c>
    </row>
    <row r="36" ht="20" customHeight="1">
      <c r="A36" s="10" t="n">
        <v>25</v>
      </c>
      <c r="B36" s="10" t="inlineStr"/>
      <c r="C36" s="10" t="inlineStr"/>
      <c r="D36" s="11">
        <f>IF(B36&lt;&gt;"",INDEX(工资明细!$O$3:$O$40,MATCH(B36,工资明细!$A$3:$A$40,0)),"")</f>
        <v/>
      </c>
      <c r="E36" s="11">
        <f>IF(B36="","",IF($D$6&gt;0,D36/$D$6,0))</f>
        <v/>
      </c>
      <c r="F36" s="12">
        <f>$D$7</f>
        <v/>
      </c>
      <c r="G36" s="11">
        <f>IF(B36="","",E36*F36)</f>
        <v/>
      </c>
      <c r="H36" s="13">
        <f>IF(B36="","",IF(G36/12&lt;=3000,3%,IF(G36/12&lt;=12000,10%,IF(G36/12&lt;=25000,20%,IF(G36/12&lt;=35000,25%,IF(G36/12&lt;=55000,30%,IF(G36/12&lt;=80000,35%,45%)))))))</f>
        <v/>
      </c>
      <c r="I36" s="12">
        <f>IF(B36="","",IF(G36/12&lt;=3000,0,IF(G36/12&lt;=12000,210,IF(G36/12&lt;=25000,1410,IF(G36/12&lt;=35000,2660,IF(G36/12&lt;=55000,4410,IF(G36/12&lt;=80000,7160,15160)))))))</f>
        <v/>
      </c>
      <c r="J36" s="11">
        <f>IF(B36="","",MAX(0,ROUND(G36*H36-I36,2)))</f>
        <v/>
      </c>
      <c r="K36" s="14">
        <f>IF(B36="","",G36-J36)</f>
        <v/>
      </c>
      <c r="L36" s="10" t="inlineStr">
        <is>
          <t>单独计税</t>
        </is>
      </c>
    </row>
    <row r="37" ht="20" customHeight="1">
      <c r="A37" s="10" t="n">
        <v>26</v>
      </c>
      <c r="B37" s="10" t="inlineStr"/>
      <c r="C37" s="10" t="inlineStr"/>
      <c r="D37" s="11">
        <f>IF(B37&lt;&gt;"",INDEX(工资明细!$O$3:$O$40,MATCH(B37,工资明细!$A$3:$A$40,0)),"")</f>
        <v/>
      </c>
      <c r="E37" s="11">
        <f>IF(B37="","",IF($D$6&gt;0,D37/$D$6,0))</f>
        <v/>
      </c>
      <c r="F37" s="12">
        <f>$D$7</f>
        <v/>
      </c>
      <c r="G37" s="11">
        <f>IF(B37="","",E37*F37)</f>
        <v/>
      </c>
      <c r="H37" s="13">
        <f>IF(B37="","",IF(G37/12&lt;=3000,3%,IF(G37/12&lt;=12000,10%,IF(G37/12&lt;=25000,20%,IF(G37/12&lt;=35000,25%,IF(G37/12&lt;=55000,30%,IF(G37/12&lt;=80000,35%,45%)))))))</f>
        <v/>
      </c>
      <c r="I37" s="12">
        <f>IF(B37="","",IF(G37/12&lt;=3000,0,IF(G37/12&lt;=12000,210,IF(G37/12&lt;=25000,1410,IF(G37/12&lt;=35000,2660,IF(G37/12&lt;=55000,4410,IF(G37/12&lt;=80000,7160,15160)))))))</f>
        <v/>
      </c>
      <c r="J37" s="11">
        <f>IF(B37="","",MAX(0,ROUND(G37*H37-I37,2)))</f>
        <v/>
      </c>
      <c r="K37" s="14">
        <f>IF(B37="","",G37-J37)</f>
        <v/>
      </c>
      <c r="L37" s="10" t="inlineStr">
        <is>
          <t>单独计税</t>
        </is>
      </c>
    </row>
    <row r="38" ht="20" customHeight="1">
      <c r="A38" s="10" t="n">
        <v>27</v>
      </c>
      <c r="B38" s="10" t="inlineStr"/>
      <c r="C38" s="10" t="inlineStr"/>
      <c r="D38" s="11">
        <f>IF(B38&lt;&gt;"",INDEX(工资明细!$O$3:$O$40,MATCH(B38,工资明细!$A$3:$A$40,0)),"")</f>
        <v/>
      </c>
      <c r="E38" s="11">
        <f>IF(B38="","",IF($D$6&gt;0,D38/$D$6,0))</f>
        <v/>
      </c>
      <c r="F38" s="12">
        <f>$D$7</f>
        <v/>
      </c>
      <c r="G38" s="11">
        <f>IF(B38="","",E38*F38)</f>
        <v/>
      </c>
      <c r="H38" s="13">
        <f>IF(B38="","",IF(G38/12&lt;=3000,3%,IF(G38/12&lt;=12000,10%,IF(G38/12&lt;=25000,20%,IF(G38/12&lt;=35000,25%,IF(G38/12&lt;=55000,30%,IF(G38/12&lt;=80000,35%,45%)))))))</f>
        <v/>
      </c>
      <c r="I38" s="12">
        <f>IF(B38="","",IF(G38/12&lt;=3000,0,IF(G38/12&lt;=12000,210,IF(G38/12&lt;=25000,1410,IF(G38/12&lt;=35000,2660,IF(G38/12&lt;=55000,4410,IF(G38/12&lt;=80000,7160,15160)))))))</f>
        <v/>
      </c>
      <c r="J38" s="11">
        <f>IF(B38="","",MAX(0,ROUND(G38*H38-I38,2)))</f>
        <v/>
      </c>
      <c r="K38" s="14">
        <f>IF(B38="","",G38-J38)</f>
        <v/>
      </c>
      <c r="L38" s="10" t="inlineStr">
        <is>
          <t>单独计税</t>
        </is>
      </c>
    </row>
    <row r="39" ht="20" customHeight="1">
      <c r="A39" s="10" t="n">
        <v>28</v>
      </c>
      <c r="B39" s="10" t="inlineStr"/>
      <c r="C39" s="10" t="inlineStr"/>
      <c r="D39" s="11">
        <f>IF(B39&lt;&gt;"",INDEX(工资明细!$O$3:$O$40,MATCH(B39,工资明细!$A$3:$A$40,0)),"")</f>
        <v/>
      </c>
      <c r="E39" s="11">
        <f>IF(B39="","",IF($D$6&gt;0,D39/$D$6,0))</f>
        <v/>
      </c>
      <c r="F39" s="12">
        <f>$D$7</f>
        <v/>
      </c>
      <c r="G39" s="11">
        <f>IF(B39="","",E39*F39)</f>
        <v/>
      </c>
      <c r="H39" s="13">
        <f>IF(B39="","",IF(G39/12&lt;=3000,3%,IF(G39/12&lt;=12000,10%,IF(G39/12&lt;=25000,20%,IF(G39/12&lt;=35000,25%,IF(G39/12&lt;=55000,30%,IF(G39/12&lt;=80000,35%,45%)))))))</f>
        <v/>
      </c>
      <c r="I39" s="12">
        <f>IF(B39="","",IF(G39/12&lt;=3000,0,IF(G39/12&lt;=12000,210,IF(G39/12&lt;=25000,1410,IF(G39/12&lt;=35000,2660,IF(G39/12&lt;=55000,4410,IF(G39/12&lt;=80000,7160,15160)))))))</f>
        <v/>
      </c>
      <c r="J39" s="11">
        <f>IF(B39="","",MAX(0,ROUND(G39*H39-I39,2)))</f>
        <v/>
      </c>
      <c r="K39" s="14">
        <f>IF(B39="","",G39-J39)</f>
        <v/>
      </c>
      <c r="L39" s="10" t="inlineStr">
        <is>
          <t>单独计税</t>
        </is>
      </c>
    </row>
    <row r="40" ht="20" customHeight="1">
      <c r="A40" s="10" t="n">
        <v>29</v>
      </c>
      <c r="B40" s="10" t="inlineStr"/>
      <c r="C40" s="10" t="inlineStr"/>
      <c r="D40" s="11">
        <f>IF(B40&lt;&gt;"",INDEX(工资明细!$O$3:$O$40,MATCH(B40,工资明细!$A$3:$A$40,0)),"")</f>
        <v/>
      </c>
      <c r="E40" s="11">
        <f>IF(B40="","",IF($D$6&gt;0,D40/$D$6,0))</f>
        <v/>
      </c>
      <c r="F40" s="12">
        <f>$D$7</f>
        <v/>
      </c>
      <c r="G40" s="11">
        <f>IF(B40="","",E40*F40)</f>
        <v/>
      </c>
      <c r="H40" s="13">
        <f>IF(B40="","",IF(G40/12&lt;=3000,3%,IF(G40/12&lt;=12000,10%,IF(G40/12&lt;=25000,20%,IF(G40/12&lt;=35000,25%,IF(G40/12&lt;=55000,30%,IF(G40/12&lt;=80000,35%,45%)))))))</f>
        <v/>
      </c>
      <c r="I40" s="12">
        <f>IF(B40="","",IF(G40/12&lt;=3000,0,IF(G40/12&lt;=12000,210,IF(G40/12&lt;=25000,1410,IF(G40/12&lt;=35000,2660,IF(G40/12&lt;=55000,4410,IF(G40/12&lt;=80000,7160,15160)))))))</f>
        <v/>
      </c>
      <c r="J40" s="11">
        <f>IF(B40="","",MAX(0,ROUND(G40*H40-I40,2)))</f>
        <v/>
      </c>
      <c r="K40" s="14">
        <f>IF(B40="","",G40-J40)</f>
        <v/>
      </c>
      <c r="L40" s="10" t="inlineStr">
        <is>
          <t>单独计税</t>
        </is>
      </c>
    </row>
  </sheetData>
  <mergeCells count="6">
    <mergeCell ref="A10:L10"/>
    <mergeCell ref="A1:L1"/>
    <mergeCell ref="E7"/>
    <mergeCell ref="E6"/>
    <mergeCell ref="A3:L3"/>
    <mergeCell ref="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00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7" t="inlineStr">
        <is>
          <t>使用说明</t>
        </is>
      </c>
    </row>
    <row r="2">
      <c r="A2" s="18" t="inlineStr">
        <is>
          <t>一、总览</t>
        </is>
      </c>
    </row>
    <row r="3">
      <c r="A3" s="19" t="inlineStr">
        <is>
          <t>· 本工作簿共3个工作表：① 工资明细  ② 年终奖计算  ③ 使用说明（本页）。</t>
        </is>
      </c>
    </row>
    <row r="4">
      <c r="A4" s="19" t="inlineStr">
        <is>
          <t>· 只需改「工资明细」和「年终奖计算」里的输入，其余全部自动算。</t>
        </is>
      </c>
    </row>
    <row r="6">
      <c r="A6" s="18" t="inlineStr">
        <is>
          <t>二、录入工资明细</t>
        </is>
      </c>
    </row>
    <row r="7">
      <c r="A7" s="19" t="inlineStr">
        <is>
          <t>· 在「工资明细」表中按员工逐月填写税前应发工资（B列~N列）。</t>
        </is>
      </c>
    </row>
    <row r="8">
      <c r="A8" s="19" t="inlineStr">
        <is>
          <t>· 全年合计列用公式 =SUM(C:N) 自动汇总，无需手填。</t>
        </is>
      </c>
    </row>
    <row r="9">
      <c r="A9" s="19" t="inlineStr">
        <is>
          <t>· 示例数据（张三/李四/王五）可直接改为真实数据，也可删除整行。</t>
        </is>
      </c>
    </row>
    <row r="11">
      <c r="A11" s="18" t="inlineStr">
        <is>
          <t>三、年终奖自动计算</t>
        </is>
      </c>
    </row>
    <row r="12">
      <c r="A12" s="19" t="inlineStr">
        <is>
          <t>· 逻辑：年终奖 = 月均工资 × 奖金系数；月均工资 = 全年应发合计 ÷ 参与系数。</t>
        </is>
      </c>
    </row>
    <row r="13">
      <c r="A13" s="19" t="inlineStr">
        <is>
          <t>· 「全年应发合计」通过 INDEX/MATCH 自动从「工资明细」按员工编号取数。</t>
        </is>
      </c>
    </row>
    <row r="14">
      <c r="A14" s="19" t="inlineStr">
        <is>
          <t>· 新增员工：在黄色区任一空行填写 员工编号+姓名 即可，公式自动带出。</t>
        </is>
      </c>
    </row>
    <row r="15">
      <c r="A15" s="19" t="inlineStr">
        <is>
          <t>· 黄色单元格为自动计算，请勿手改；绿色为最终实发奖金。</t>
        </is>
      </c>
    </row>
    <row r="17">
      <c r="A17" s="18" t="inlineStr">
        <is>
          <t>四、年终奖个税（单独计税）</t>
        </is>
      </c>
    </row>
    <row r="18">
      <c r="A18" s="19" t="inlineStr">
        <is>
          <t>· 按财政部「全年一次性奖金」单独计税：先将奖金 ÷12 得到月均值，查月度税率表。</t>
        </is>
      </c>
    </row>
    <row r="19">
      <c r="A19" s="19" t="inlineStr">
        <is>
          <t>· 月度税率表（含速算扣除数）：≤3000→3%/0；≤12000→10%/210；≤25000→20%/1410；</t>
        </is>
      </c>
    </row>
    <row r="20">
      <c r="A20" s="19" t="inlineStr">
        <is>
          <t>· ≤35000→25%/2660；≤55000→30%/4410；≤80000→35%/7160；以上→45%/15160。</t>
        </is>
      </c>
    </row>
    <row r="21">
      <c r="A21" s="19" t="inlineStr">
        <is>
          <t>· 个税 = 全年奖金 × 适用税率 − 速算扣除数（不足0按0）。实发 = 奖金 − 个税。</t>
        </is>
      </c>
    </row>
    <row r="22">
      <c r="A22" s="19" t="inlineStr">
        <is>
          <t>· 如需改为「并入综合所得」计税，可在备注中说明并自行替换个税公式。</t>
        </is>
      </c>
    </row>
    <row r="24">
      <c r="A24" s="18" t="inlineStr">
        <is>
          <t>五、参数调整</t>
        </is>
      </c>
    </row>
    <row r="25">
      <c r="A25" s="19" t="inlineStr">
        <is>
          <t>· 「年终奖计算」表中灰色参数区可改：发放月份、参与系数（默认12月）、奖金系数（默认1.5）。</t>
        </is>
      </c>
    </row>
    <row r="26">
      <c r="A26" s="19" t="inlineStr">
        <is>
          <t>· 所有公式随参数即时重算，无需手动维护。</t>
        </is>
      </c>
    </row>
    <row r="28">
      <c r="A28" s="18" t="inlineStr">
        <is>
          <t>六、提示</t>
        </is>
      </c>
    </row>
    <row r="29">
      <c r="A29" s="19" t="inlineStr">
        <is>
          <t>· 本模板仅作通用参考，实际个税请以税务机关最新政策为准。</t>
        </is>
      </c>
    </row>
    <row r="30">
      <c r="A30" s="19" t="inlineStr">
        <is>
          <t>· 若用 WPS 或国产表格软件，个别函数（INDEX/MATCH）支持一致，可正常使用。</t>
        </is>
      </c>
    </row>
  </sheetData>
  <mergeCells count="25">
    <mergeCell ref="A17:D17"/>
    <mergeCell ref="A8:D8"/>
    <mergeCell ref="A22:D22"/>
    <mergeCell ref="A4:D4"/>
    <mergeCell ref="A20:D20"/>
    <mergeCell ref="A29:D29"/>
    <mergeCell ref="A19:D19"/>
    <mergeCell ref="A28:D28"/>
    <mergeCell ref="A13:D13"/>
    <mergeCell ref="A9:D9"/>
    <mergeCell ref="A30:D30"/>
    <mergeCell ref="A15:D15"/>
    <mergeCell ref="A24:D24"/>
    <mergeCell ref="A11:D11"/>
    <mergeCell ref="A1:D1"/>
    <mergeCell ref="A6:D6"/>
    <mergeCell ref="A7:D7"/>
    <mergeCell ref="A25:D25"/>
    <mergeCell ref="A18:D18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2026-08-21T19:01:51Z</dcterms:created>
  <dcterms:modified xmlns:dcterms="http://purl.org/dc/terms/" xmlns:xsi="http://www.w3.org/2001/XMLSchema-instance" xsi:type="dcterms:W3CDTF">2026-08-21T19:02:55Z</dcterms:modified>
</cp:coreProperties>
</file>