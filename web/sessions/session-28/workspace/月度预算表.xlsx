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预算明细" sheetId="1" state="visible" r:id="rId1"/>
    <sheet xmlns:r="http://schemas.openxmlformats.org/officeDocument/2006/relationships" name="透视汇总" sheetId="2" state="visible" r:id="rId2"/>
    <sheet xmlns:r="http://schemas.openxmlformats.org/officeDocument/2006/relationships" name="透视数据源" sheetId="3" state="visible" r:id="rId3"/>
    <sheet xmlns:r="http://schemas.openxmlformats.org/officeDocument/2006/relationships" name="透视分析" sheetId="4" state="visible" r:id="rId4"/>
    <sheet xmlns:r="http://schemas.openxmlformats.org/officeDocument/2006/relationships" name="实际支出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color rgb="002E75B6"/>
      <sz val="11"/>
    </font>
    <font>
      <name val="微软雅黑"/>
      <b val="1"/>
      <color rgb="00FFFFFF"/>
      <sz val="11"/>
    </font>
    <font>
      <name val="微软雅黑"/>
      <b val="1"/>
    </font>
    <font>
      <name val="微软雅黑"/>
      <b val="1"/>
      <color rgb="001F4E79"/>
      <sz val="14"/>
    </font>
    <font>
      <name val="微软雅黑"/>
      <b val="1"/>
      <color rgb="00FFFFFF"/>
    </font>
    <font>
      <b val="1"/>
    </font>
    <font>
      <name val="微软雅黑"/>
      <b val="1"/>
      <color rgb="00C00000"/>
      <sz val="16"/>
    </font>
    <font>
      <name val="微软雅黑"/>
      <i val="1"/>
      <color rgb="00808080"/>
      <sz val="10"/>
    </font>
    <font>
      <name val="微软雅黑"/>
      <b val="1"/>
      <color rgb="001F4E79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DEBF7"/>
        <bgColor rgb="00DDEBF7"/>
      </patternFill>
    </fill>
    <fill>
      <patternFill patternType="solid">
        <fgColor rgb="00C00000"/>
        <bgColor rgb="00C00000"/>
      </patternFill>
    </fill>
    <fill>
      <patternFill patternType="solid">
        <fgColor rgb="00F2DCDB"/>
        <bgColor rgb="00F2DCDB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F8CBAD"/>
      </left>
      <right style="thin">
        <color rgb="00F8CBAD"/>
      </right>
      <top style="thin">
        <color rgb="00F8CBAD"/>
      </top>
      <bottom style="thin">
        <color rgb="00F8CBA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4" fillId="3" borderId="0" pivotButton="0" quotePrefix="0" xfId="0"/>
    <xf numFmtId="4" fontId="4" fillId="3" borderId="0" pivotButton="0" quotePrefix="0" xfId="0"/>
    <xf numFmtId="4" fontId="0" fillId="0" borderId="0" pivotButton="0" quotePrefix="0" xfId="0"/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4" fontId="0" fillId="0" borderId="1" pivotButton="0" quotePrefix="0" xfId="0"/>
    <xf numFmtId="164" fontId="0" fillId="0" borderId="1" pivotButton="0" quotePrefix="0" xfId="0"/>
    <xf numFmtId="0" fontId="7" fillId="3" borderId="0" pivotButton="0" quotePrefix="0" xfId="0"/>
    <xf numFmtId="4" fontId="7" fillId="3" borderId="0" pivotButton="0" quotePrefix="0" xfId="0"/>
    <xf numFmtId="164" fontId="7" fillId="3" borderId="0" pivotButton="0" quotePrefix="0" xfId="0"/>
    <xf numFmtId="0" fontId="6" fillId="0" borderId="0" pivotButton="0" quotePrefix="0" xfId="0"/>
    <xf numFmtId="0" fontId="6" fillId="2" borderId="0" applyAlignment="1" pivotButton="0" quotePrefix="0" xfId="0">
      <alignment horizontal="center" wrapText="1"/>
    </xf>
    <xf numFmtId="0" fontId="7" fillId="0" borderId="0" pivotButton="0" quotePrefix="0" xfId="0"/>
    <xf numFmtId="3" fontId="0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3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3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center"/>
    </xf>
    <xf numFmtId="0" fontId="0" fillId="5" borderId="2" pivotButton="0" quotePrefix="0" xfId="0"/>
    <xf numFmtId="3" fontId="7" fillId="5" borderId="2" pivotButton="0" quotePrefix="0" xfId="0"/>
    <xf numFmtId="164" fontId="7" fillId="5" borderId="2" pivotButton="0" quotePrefix="0" xfId="0"/>
    <xf numFmtId="0" fontId="1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月度预算支出大类占比</a:t>
            </a:r>
          </a:p>
        </rich>
      </tx>
    </title>
    <plotArea>
      <pieChart>
        <varyColors val="1"/>
        <ser>
          <idx val="0"/>
          <order val="0"/>
          <tx>
            <strRef>
              <f>'透视汇总'!B3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'透视汇总'!$A$4:$A$10</f>
            </numRef>
          </cat>
          <val>
            <numRef>
              <f>'透视汇总'!$B$4:$B$10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各大类预算金额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'透视汇总'!B3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'透视汇总'!$A$4:$A$10</f>
            </numRef>
          </cat>
          <val>
            <numRef>
              <f>'透视汇总'!$B$4:$B$10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 vs 实际（按大类）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'实际支出对比'!B28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'实际支出对比'!$A$29:$A$35</f>
            </numRef>
          </cat>
          <val>
            <numRef>
              <f>'实际支出对比'!$B$29:$B$35</f>
            </numRef>
          </val>
        </ser>
        <ser>
          <idx val="1"/>
          <order val="1"/>
          <tx>
            <strRef>
              <f>'实际支出对比'!C28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'实际支出对比'!$A$29:$A$35</f>
            </numRef>
          </cat>
          <val>
            <numRef>
              <f>'实际支出对比'!$C$29:$C$35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预算-实际差异（按大类）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'实际支出对比'!D28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'实际支出对比'!$A$29:$A$35</f>
            </numRef>
          </cat>
          <val>
            <numRef>
              <f>'实际支出对比'!$D$29:$D$35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27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udgetData" displayName="BudgetData" ref="A1:C21" headerRowCount="1">
  <autoFilter ref="A1:C21"/>
  <tableColumns count="3">
    <tableColumn id="1" name="支出大类"/>
    <tableColumn id="2" name="支出科目"/>
    <tableColumn id="3" name="月度预算（元）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0" customHeight="1">
      <c r="A1" s="1" t="inlineStr">
        <is>
          <t>月度家庭预算明细表（存款 1000 万元）</t>
        </is>
      </c>
    </row>
    <row r="2" ht="22" customHeight="1">
      <c r="A2" s="2" t="inlineStr">
        <is>
          <t>存款总额 10,000,000 元</t>
        </is>
      </c>
    </row>
    <row r="4" ht="26" customHeight="1">
      <c r="A4" s="3" t="inlineStr">
        <is>
          <t>支出大类</t>
        </is>
      </c>
      <c r="B4" s="3" t="inlineStr">
        <is>
          <t>支出科目</t>
        </is>
      </c>
      <c r="C4" s="3" t="inlineStr">
        <is>
          <t>月度预算（元）</t>
        </is>
      </c>
    </row>
    <row r="5">
      <c r="A5" s="4" t="inlineStr">
        <is>
          <t>生活开支</t>
        </is>
      </c>
      <c r="B5" s="4" t="inlineStr">
        <is>
          <t>餐饮</t>
        </is>
      </c>
      <c r="C5" s="5" t="n">
        <v>8000</v>
      </c>
    </row>
    <row r="6">
      <c r="A6" s="4" t="inlineStr">
        <is>
          <t>生活开支</t>
        </is>
      </c>
      <c r="B6" s="4" t="inlineStr">
        <is>
          <t>住房</t>
        </is>
      </c>
      <c r="C6" s="5" t="n">
        <v>12000</v>
      </c>
    </row>
    <row r="7">
      <c r="A7" s="4" t="inlineStr">
        <is>
          <t>生活开支</t>
        </is>
      </c>
      <c r="B7" s="4" t="inlineStr">
        <is>
          <t>交通</t>
        </is>
      </c>
      <c r="C7" s="5" t="n">
        <v>3000</v>
      </c>
    </row>
    <row r="8">
      <c r="A8" s="4" t="inlineStr">
        <is>
          <t>生活开支</t>
        </is>
      </c>
      <c r="B8" s="4" t="inlineStr">
        <is>
          <t>服饰</t>
        </is>
      </c>
      <c r="C8" s="5" t="n">
        <v>4000</v>
      </c>
    </row>
    <row r="9">
      <c r="A9" s="4" t="inlineStr">
        <is>
          <t>生活开支</t>
        </is>
      </c>
      <c r="B9" s="4" t="inlineStr">
        <is>
          <t>日常用品</t>
        </is>
      </c>
      <c r="C9" s="5" t="n">
        <v>3000</v>
      </c>
    </row>
    <row r="10">
      <c r="A10" s="4" t="inlineStr">
        <is>
          <t>生活开支</t>
        </is>
      </c>
      <c r="B10" s="4" t="inlineStr">
        <is>
          <t>物业水电</t>
        </is>
      </c>
      <c r="C10" s="5" t="n">
        <v>3000</v>
      </c>
    </row>
    <row r="11">
      <c r="A11" s="4" t="inlineStr">
        <is>
          <t>子女教育</t>
        </is>
      </c>
      <c r="B11" s="4" t="inlineStr">
        <is>
          <t>学费</t>
        </is>
      </c>
      <c r="C11" s="5" t="n">
        <v>5000</v>
      </c>
    </row>
    <row r="12">
      <c r="A12" s="4" t="inlineStr">
        <is>
          <t>子女教育</t>
        </is>
      </c>
      <c r="B12" s="4" t="inlineStr">
        <is>
          <t>课外培训</t>
        </is>
      </c>
      <c r="C12" s="5" t="n">
        <v>4000</v>
      </c>
    </row>
    <row r="13">
      <c r="A13" s="4" t="inlineStr">
        <is>
          <t>子女教育</t>
        </is>
      </c>
      <c r="B13" s="4" t="inlineStr">
        <is>
          <t>书籍文具</t>
        </is>
      </c>
      <c r="C13" s="5" t="n">
        <v>1000</v>
      </c>
    </row>
    <row r="14">
      <c r="A14" s="4" t="inlineStr">
        <is>
          <t>健康医疗</t>
        </is>
      </c>
      <c r="B14" s="4" t="inlineStr">
        <is>
          <t>保险</t>
        </is>
      </c>
      <c r="C14" s="5" t="n">
        <v>2000</v>
      </c>
    </row>
    <row r="15">
      <c r="A15" s="4" t="inlineStr">
        <is>
          <t>健康医疗</t>
        </is>
      </c>
      <c r="B15" s="4" t="inlineStr">
        <is>
          <t>医疗</t>
        </is>
      </c>
      <c r="C15" s="5" t="n">
        <v>1000</v>
      </c>
    </row>
    <row r="16">
      <c r="A16" s="4" t="inlineStr">
        <is>
          <t>健康医疗</t>
        </is>
      </c>
      <c r="B16" s="4" t="inlineStr">
        <is>
          <t>健身</t>
        </is>
      </c>
      <c r="C16" s="5" t="n">
        <v>800</v>
      </c>
    </row>
    <row r="17">
      <c r="A17" s="4" t="inlineStr">
        <is>
          <t>休闲娱乐</t>
        </is>
      </c>
      <c r="B17" s="4" t="inlineStr">
        <is>
          <t>旅行</t>
        </is>
      </c>
      <c r="C17" s="5" t="n">
        <v>6000</v>
      </c>
    </row>
    <row r="18">
      <c r="A18" s="4" t="inlineStr">
        <is>
          <t>休闲娱乐</t>
        </is>
      </c>
      <c r="B18" s="4" t="inlineStr">
        <is>
          <t>娱乐</t>
        </is>
      </c>
      <c r="C18" s="5" t="n">
        <v>2000</v>
      </c>
    </row>
    <row r="19">
      <c r="A19" s="4" t="inlineStr">
        <is>
          <t>休闲娱乐</t>
        </is>
      </c>
      <c r="B19" s="4" t="inlineStr">
        <is>
          <t>购物</t>
        </is>
      </c>
      <c r="C19" s="5" t="n">
        <v>3000</v>
      </c>
    </row>
    <row r="20">
      <c r="A20" s="4" t="inlineStr">
        <is>
          <t>社交人情</t>
        </is>
      </c>
      <c r="B20" s="4" t="inlineStr">
        <is>
          <t>人情往来</t>
        </is>
      </c>
      <c r="C20" s="5" t="n">
        <v>2000</v>
      </c>
    </row>
    <row r="21">
      <c r="A21" s="4" t="inlineStr">
        <is>
          <t>社交人情</t>
        </is>
      </c>
      <c r="B21" s="4" t="inlineStr">
        <is>
          <t>请客聚会</t>
        </is>
      </c>
      <c r="C21" s="5" t="n">
        <v>1500</v>
      </c>
    </row>
    <row r="22">
      <c r="A22" s="4" t="inlineStr">
        <is>
          <t>交通通讯</t>
        </is>
      </c>
      <c r="B22" s="4" t="inlineStr">
        <is>
          <t>油费停车</t>
        </is>
      </c>
      <c r="C22" s="5" t="n">
        <v>1500</v>
      </c>
    </row>
    <row r="23">
      <c r="A23" s="4" t="inlineStr">
        <is>
          <t>交通通讯</t>
        </is>
      </c>
      <c r="B23" s="4" t="inlineStr">
        <is>
          <t>话费流量</t>
        </is>
      </c>
      <c r="C23" s="5" t="n">
        <v>500</v>
      </c>
    </row>
    <row r="24">
      <c r="A24" s="4" t="inlineStr">
        <is>
          <t>其他支出</t>
        </is>
      </c>
      <c r="B24" s="4" t="inlineStr">
        <is>
          <t>意外支出</t>
        </is>
      </c>
      <c r="C24" s="5" t="n">
        <v>2000</v>
      </c>
    </row>
    <row r="25">
      <c r="A25" s="6" t="inlineStr">
        <is>
          <t>合计</t>
        </is>
      </c>
      <c r="B25" s="6" t="inlineStr">
        <is>
          <t>——</t>
        </is>
      </c>
      <c r="C25" s="7">
        <f>SUM(C5:C24)</f>
        <v/>
      </c>
    </row>
    <row r="26">
      <c r="A26" t="inlineStr">
        <is>
          <t>存款总额</t>
        </is>
      </c>
      <c r="B26" t="inlineStr">
        <is>
          <t>——</t>
        </is>
      </c>
      <c r="C26" s="8" t="n">
        <v>10000000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</cols>
  <sheetData>
    <row r="1" ht="30" customHeight="1">
      <c r="A1" s="9" t="inlineStr">
        <is>
          <t>月度预算透视汇总（按支出大类）</t>
        </is>
      </c>
    </row>
    <row r="3">
      <c r="A3" s="10" t="inlineStr">
        <is>
          <t>支出大类</t>
        </is>
      </c>
      <c r="B3" s="10" t="inlineStr">
        <is>
          <t>月度预算（元）</t>
        </is>
      </c>
      <c r="C3" s="10" t="inlineStr">
        <is>
          <t>占比</t>
        </is>
      </c>
    </row>
    <row r="4">
      <c r="A4" s="4" t="inlineStr">
        <is>
          <t>生活开支</t>
        </is>
      </c>
      <c r="B4" s="11" t="n">
        <v>33000</v>
      </c>
      <c r="C4" s="12" t="n">
        <v>0.5053598774885145</v>
      </c>
    </row>
    <row r="5">
      <c r="A5" s="4" t="inlineStr">
        <is>
          <t>休闲娱乐</t>
        </is>
      </c>
      <c r="B5" s="11" t="n">
        <v>11000</v>
      </c>
      <c r="C5" s="12" t="n">
        <v>0.1684532924961715</v>
      </c>
    </row>
    <row r="6">
      <c r="A6" s="4" t="inlineStr">
        <is>
          <t>子女教育</t>
        </is>
      </c>
      <c r="B6" s="11" t="n">
        <v>10000</v>
      </c>
      <c r="C6" s="12" t="n">
        <v>0.1531393568147014</v>
      </c>
    </row>
    <row r="7">
      <c r="A7" s="4" t="inlineStr">
        <is>
          <t>健康医疗</t>
        </is>
      </c>
      <c r="B7" s="11" t="n">
        <v>3800</v>
      </c>
      <c r="C7" s="12" t="n">
        <v>0.05819295558958652</v>
      </c>
    </row>
    <row r="8">
      <c r="A8" s="4" t="inlineStr">
        <is>
          <t>社交人情</t>
        </is>
      </c>
      <c r="B8" s="11" t="n">
        <v>3500</v>
      </c>
      <c r="C8" s="12" t="n">
        <v>0.05359877488514548</v>
      </c>
    </row>
    <row r="9">
      <c r="A9" s="4" t="inlineStr">
        <is>
          <t>交通通讯</t>
        </is>
      </c>
      <c r="B9" s="11" t="n">
        <v>2000</v>
      </c>
      <c r="C9" s="12" t="n">
        <v>0.03062787136294028</v>
      </c>
    </row>
    <row r="10">
      <c r="A10" s="4" t="inlineStr">
        <is>
          <t>其他支出</t>
        </is>
      </c>
      <c r="B10" s="11" t="n">
        <v>2000</v>
      </c>
      <c r="C10" s="12" t="n">
        <v>0.03062787136294028</v>
      </c>
    </row>
    <row r="11">
      <c r="A11" s="13" t="inlineStr">
        <is>
          <t>合计</t>
        </is>
      </c>
      <c r="B11" s="14">
        <f>SUM(B4:B10)</f>
        <v/>
      </c>
      <c r="C11" s="15">
        <f>SUM(C4:C10)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支出大类</t>
        </is>
      </c>
      <c r="B1" s="16" t="inlineStr">
        <is>
          <t>支出科目</t>
        </is>
      </c>
      <c r="C1" s="16" t="inlineStr">
        <is>
          <t>月度预算（元）</t>
        </is>
      </c>
    </row>
    <row r="2">
      <c r="A2" t="inlineStr">
        <is>
          <t>生活开支</t>
        </is>
      </c>
      <c r="B2" t="inlineStr">
        <is>
          <t>餐饮</t>
        </is>
      </c>
      <c r="C2" t="n">
        <v>8000</v>
      </c>
    </row>
    <row r="3">
      <c r="A3" t="inlineStr">
        <is>
          <t>生活开支</t>
        </is>
      </c>
      <c r="B3" t="inlineStr">
        <is>
          <t>住房</t>
        </is>
      </c>
      <c r="C3" t="n">
        <v>12000</v>
      </c>
    </row>
    <row r="4">
      <c r="A4" t="inlineStr">
        <is>
          <t>生活开支</t>
        </is>
      </c>
      <c r="B4" t="inlineStr">
        <is>
          <t>交通</t>
        </is>
      </c>
      <c r="C4" t="n">
        <v>3000</v>
      </c>
    </row>
    <row r="5">
      <c r="A5" t="inlineStr">
        <is>
          <t>生活开支</t>
        </is>
      </c>
      <c r="B5" t="inlineStr">
        <is>
          <t>服饰</t>
        </is>
      </c>
      <c r="C5" t="n">
        <v>4000</v>
      </c>
    </row>
    <row r="6">
      <c r="A6" t="inlineStr">
        <is>
          <t>生活开支</t>
        </is>
      </c>
      <c r="B6" t="inlineStr">
        <is>
          <t>日常用品</t>
        </is>
      </c>
      <c r="C6" t="n">
        <v>3000</v>
      </c>
    </row>
    <row r="7">
      <c r="A7" t="inlineStr">
        <is>
          <t>生活开支</t>
        </is>
      </c>
      <c r="B7" t="inlineStr">
        <is>
          <t>物业水电</t>
        </is>
      </c>
      <c r="C7" t="n">
        <v>3000</v>
      </c>
    </row>
    <row r="8">
      <c r="A8" t="inlineStr">
        <is>
          <t>子女教育</t>
        </is>
      </c>
      <c r="B8" t="inlineStr">
        <is>
          <t>学费</t>
        </is>
      </c>
      <c r="C8" t="n">
        <v>5000</v>
      </c>
    </row>
    <row r="9">
      <c r="A9" t="inlineStr">
        <is>
          <t>子女教育</t>
        </is>
      </c>
      <c r="B9" t="inlineStr">
        <is>
          <t>课外培训</t>
        </is>
      </c>
      <c r="C9" t="n">
        <v>4000</v>
      </c>
    </row>
    <row r="10">
      <c r="A10" t="inlineStr">
        <is>
          <t>子女教育</t>
        </is>
      </c>
      <c r="B10" t="inlineStr">
        <is>
          <t>书籍文具</t>
        </is>
      </c>
      <c r="C10" t="n">
        <v>1000</v>
      </c>
    </row>
    <row r="11">
      <c r="A11" t="inlineStr">
        <is>
          <t>健康医疗</t>
        </is>
      </c>
      <c r="B11" t="inlineStr">
        <is>
          <t>保险</t>
        </is>
      </c>
      <c r="C11" t="n">
        <v>2000</v>
      </c>
    </row>
    <row r="12">
      <c r="A12" t="inlineStr">
        <is>
          <t>健康医疗</t>
        </is>
      </c>
      <c r="B12" t="inlineStr">
        <is>
          <t>医疗</t>
        </is>
      </c>
      <c r="C12" t="n">
        <v>1000</v>
      </c>
    </row>
    <row r="13">
      <c r="A13" t="inlineStr">
        <is>
          <t>健康医疗</t>
        </is>
      </c>
      <c r="B13" t="inlineStr">
        <is>
          <t>健身</t>
        </is>
      </c>
      <c r="C13" t="n">
        <v>800</v>
      </c>
    </row>
    <row r="14">
      <c r="A14" t="inlineStr">
        <is>
          <t>休闲娱乐</t>
        </is>
      </c>
      <c r="B14" t="inlineStr">
        <is>
          <t>旅行</t>
        </is>
      </c>
      <c r="C14" t="n">
        <v>6000</v>
      </c>
    </row>
    <row r="15">
      <c r="A15" t="inlineStr">
        <is>
          <t>休闲娱乐</t>
        </is>
      </c>
      <c r="B15" t="inlineStr">
        <is>
          <t>娱乐</t>
        </is>
      </c>
      <c r="C15" t="n">
        <v>2000</v>
      </c>
    </row>
    <row r="16">
      <c r="A16" t="inlineStr">
        <is>
          <t>休闲娱乐</t>
        </is>
      </c>
      <c r="B16" t="inlineStr">
        <is>
          <t>购物</t>
        </is>
      </c>
      <c r="C16" t="n">
        <v>3000</v>
      </c>
    </row>
    <row r="17">
      <c r="A17" t="inlineStr">
        <is>
          <t>社交人情</t>
        </is>
      </c>
      <c r="B17" t="inlineStr">
        <is>
          <t>人情往来</t>
        </is>
      </c>
      <c r="C17" t="n">
        <v>2000</v>
      </c>
    </row>
    <row r="18">
      <c r="A18" t="inlineStr">
        <is>
          <t>社交人情</t>
        </is>
      </c>
      <c r="B18" t="inlineStr">
        <is>
          <t>请客聚会</t>
        </is>
      </c>
      <c r="C18" t="n">
        <v>1500</v>
      </c>
    </row>
    <row r="19">
      <c r="A19" t="inlineStr">
        <is>
          <t>交通通讯</t>
        </is>
      </c>
      <c r="B19" t="inlineStr">
        <is>
          <t>油费停车</t>
        </is>
      </c>
      <c r="C19" t="n">
        <v>1500</v>
      </c>
    </row>
    <row r="20">
      <c r="A20" t="inlineStr">
        <is>
          <t>交通通讯</t>
        </is>
      </c>
      <c r="B20" t="inlineStr">
        <is>
          <t>话费流量</t>
        </is>
      </c>
      <c r="C20" t="n">
        <v>500</v>
      </c>
    </row>
    <row r="21">
      <c r="A21" t="inlineStr">
        <is>
          <t>其他支出</t>
        </is>
      </c>
      <c r="B21" t="inlineStr">
        <is>
          <t>意外支出</t>
        </is>
      </c>
      <c r="C21" t="n">
        <v>2000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8" customHeight="1">
      <c r="A1" s="9" t="inlineStr">
        <is>
          <t>月度预算透视分析（支出大类 × 支出科目 十字表）</t>
        </is>
      </c>
    </row>
    <row r="3">
      <c r="A3" s="17" t="inlineStr">
        <is>
          <t>支出大类</t>
        </is>
      </c>
      <c r="B3" s="17" t="inlineStr">
        <is>
          <t>书籍文具</t>
        </is>
      </c>
      <c r="C3" s="17" t="inlineStr">
        <is>
          <t>交通</t>
        </is>
      </c>
      <c r="D3" s="17" t="inlineStr">
        <is>
          <t>人情往来</t>
        </is>
      </c>
      <c r="E3" s="17" t="inlineStr">
        <is>
          <t>住房</t>
        </is>
      </c>
      <c r="F3" s="17" t="inlineStr">
        <is>
          <t>保险</t>
        </is>
      </c>
      <c r="G3" s="17" t="inlineStr">
        <is>
          <t>健身</t>
        </is>
      </c>
      <c r="H3" s="17" t="inlineStr">
        <is>
          <t>医疗</t>
        </is>
      </c>
      <c r="I3" s="17" t="inlineStr">
        <is>
          <t>娱乐</t>
        </is>
      </c>
      <c r="J3" s="17" t="inlineStr">
        <is>
          <t>学费</t>
        </is>
      </c>
      <c r="K3" s="17" t="inlineStr">
        <is>
          <t>意外支出</t>
        </is>
      </c>
      <c r="L3" s="17" t="inlineStr">
        <is>
          <t>旅行</t>
        </is>
      </c>
      <c r="M3" s="17" t="inlineStr">
        <is>
          <t>日常用品</t>
        </is>
      </c>
      <c r="N3" s="17" t="inlineStr">
        <is>
          <t>服饰</t>
        </is>
      </c>
      <c r="O3" s="17" t="inlineStr">
        <is>
          <t>油费停车</t>
        </is>
      </c>
      <c r="P3" s="17" t="inlineStr">
        <is>
          <t>物业水电</t>
        </is>
      </c>
      <c r="Q3" s="17" t="inlineStr">
        <is>
          <t>话费流量</t>
        </is>
      </c>
      <c r="R3" s="17" t="inlineStr">
        <is>
          <t>请客聚会</t>
        </is>
      </c>
      <c r="S3" s="17" t="inlineStr">
        <is>
          <t>课外培训</t>
        </is>
      </c>
      <c r="T3" s="17" t="inlineStr">
        <is>
          <t>购物</t>
        </is>
      </c>
      <c r="U3" s="17" t="inlineStr">
        <is>
          <t>餐饮</t>
        </is>
      </c>
      <c r="V3" s="10" t="inlineStr">
        <is>
          <t>大类合计</t>
        </is>
      </c>
    </row>
    <row r="4">
      <c r="A4" s="18" t="inlineStr">
        <is>
          <t>交通通讯</t>
        </is>
      </c>
      <c r="O4" s="19" t="n">
        <v>1500</v>
      </c>
      <c r="Q4" s="19" t="n">
        <v>500</v>
      </c>
      <c r="V4" s="20" t="n">
        <v>2000</v>
      </c>
    </row>
    <row r="5">
      <c r="A5" s="18" t="inlineStr">
        <is>
          <t>休闲娱乐</t>
        </is>
      </c>
      <c r="I5" s="19" t="n">
        <v>2000</v>
      </c>
      <c r="L5" s="19" t="n">
        <v>6000</v>
      </c>
      <c r="T5" s="19" t="n">
        <v>3000</v>
      </c>
      <c r="V5" s="20" t="n">
        <v>11000</v>
      </c>
    </row>
    <row r="6">
      <c r="A6" s="18" t="inlineStr">
        <is>
          <t>健康医疗</t>
        </is>
      </c>
      <c r="F6" s="19" t="n">
        <v>2000</v>
      </c>
      <c r="G6" s="19" t="n">
        <v>800</v>
      </c>
      <c r="H6" s="19" t="n">
        <v>1000</v>
      </c>
      <c r="V6" s="20" t="n">
        <v>3800</v>
      </c>
    </row>
    <row r="7">
      <c r="A7" s="18" t="inlineStr">
        <is>
          <t>其他支出</t>
        </is>
      </c>
      <c r="K7" s="19" t="n">
        <v>2000</v>
      </c>
      <c r="V7" s="20" t="n">
        <v>2000</v>
      </c>
    </row>
    <row r="8">
      <c r="A8" s="18" t="inlineStr">
        <is>
          <t>子女教育</t>
        </is>
      </c>
      <c r="B8" s="19" t="n">
        <v>1000</v>
      </c>
      <c r="J8" s="19" t="n">
        <v>5000</v>
      </c>
      <c r="S8" s="19" t="n">
        <v>4000</v>
      </c>
      <c r="V8" s="20" t="n">
        <v>10000</v>
      </c>
    </row>
    <row r="9">
      <c r="A9" s="18" t="inlineStr">
        <is>
          <t>生活开支</t>
        </is>
      </c>
      <c r="C9" s="19" t="n">
        <v>3000</v>
      </c>
      <c r="E9" s="19" t="n">
        <v>12000</v>
      </c>
      <c r="M9" s="19" t="n">
        <v>3000</v>
      </c>
      <c r="N9" s="19" t="n">
        <v>4000</v>
      </c>
      <c r="P9" s="19" t="n">
        <v>3000</v>
      </c>
      <c r="U9" s="19" t="n">
        <v>8000</v>
      </c>
      <c r="V9" s="20" t="n">
        <v>33000</v>
      </c>
    </row>
    <row r="10">
      <c r="A10" s="18" t="inlineStr">
        <is>
          <t>社交人情</t>
        </is>
      </c>
      <c r="D10" s="19" t="n">
        <v>2000</v>
      </c>
      <c r="R10" s="19" t="n">
        <v>1500</v>
      </c>
      <c r="V10" s="20" t="n">
        <v>3500</v>
      </c>
    </row>
    <row r="11">
      <c r="A11" s="18" t="inlineStr">
        <is>
          <t>总计</t>
        </is>
      </c>
      <c r="B11" s="20">
        <f>SUM(B4:B10)</f>
        <v/>
      </c>
      <c r="C11" s="20">
        <f>SUM(C4:C10)</f>
        <v/>
      </c>
      <c r="D11" s="20">
        <f>SUM(D4:D10)</f>
        <v/>
      </c>
      <c r="E11" s="20">
        <f>SUM(E4:E10)</f>
        <v/>
      </c>
      <c r="F11" s="20">
        <f>SUM(F4:F10)</f>
        <v/>
      </c>
      <c r="G11" s="20">
        <f>SUM(G4:G10)</f>
        <v/>
      </c>
      <c r="H11" s="20">
        <f>SUM(H4:H10)</f>
        <v/>
      </c>
      <c r="I11" s="20">
        <f>SUM(I4:I10)</f>
        <v/>
      </c>
      <c r="J11" s="20">
        <f>SUM(J4:J10)</f>
        <v/>
      </c>
      <c r="K11" s="20">
        <f>SUM(K4:K10)</f>
        <v/>
      </c>
      <c r="L11" s="20">
        <f>SUM(L4:L10)</f>
        <v/>
      </c>
      <c r="M11" s="20">
        <f>SUM(M4:M10)</f>
        <v/>
      </c>
      <c r="N11" s="20">
        <f>SUM(N4:N10)</f>
        <v/>
      </c>
      <c r="O11" s="20">
        <f>SUM(O4:O10)</f>
        <v/>
      </c>
      <c r="P11" s="20">
        <f>SUM(P4:P10)</f>
        <v/>
      </c>
      <c r="Q11" s="20">
        <f>SUM(Q4:Q10)</f>
        <v/>
      </c>
      <c r="R11" s="20">
        <f>SUM(R4:R10)</f>
        <v/>
      </c>
      <c r="S11" s="20">
        <f>SUM(S4:S10)</f>
        <v/>
      </c>
      <c r="T11" s="20">
        <f>SUM(T4:T10)</f>
        <v/>
      </c>
      <c r="U11" s="20">
        <f>SUM(U4:U10)</f>
        <v/>
      </c>
      <c r="V11" s="21">
        <f>SUM(V4:V10)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 ht="36" customHeight="1">
      <c r="A1" s="22" t="inlineStr">
        <is>
          <t>实际支出与预算对比跟踪表</t>
        </is>
      </c>
    </row>
    <row r="2" ht="20" customHeight="1">
      <c r="A2" s="23" t="inlineStr">
        <is>
          <t>在 D 列「实际支出」填入当月实际花费，差异与差异率自动计算；红色高亮表示超支</t>
        </is>
      </c>
    </row>
    <row r="4" ht="26" customHeight="1">
      <c r="A4" s="24" t="inlineStr">
        <is>
          <t>支出大类</t>
        </is>
      </c>
      <c r="B4" s="24" t="inlineStr">
        <is>
          <t>支出科目</t>
        </is>
      </c>
      <c r="C4" s="24" t="inlineStr">
        <is>
          <t>预算（元）</t>
        </is>
      </c>
      <c r="D4" s="24" t="inlineStr">
        <is>
          <t>实际支出（元）</t>
        </is>
      </c>
      <c r="E4" s="24" t="inlineStr">
        <is>
          <t>差异（元）</t>
        </is>
      </c>
      <c r="F4" s="24" t="inlineStr">
        <is>
          <t>差异率</t>
        </is>
      </c>
      <c r="G4" s="24" t="inlineStr">
        <is>
          <t>状态</t>
        </is>
      </c>
    </row>
    <row r="5">
      <c r="A5" s="25" t="inlineStr">
        <is>
          <t>生活开支</t>
        </is>
      </c>
      <c r="B5" s="26" t="inlineStr">
        <is>
          <t>餐饮</t>
        </is>
      </c>
      <c r="C5" s="27">
        <f>月度预算明细!C5</f>
        <v/>
      </c>
      <c r="D5" s="27" t="n">
        <v>7200</v>
      </c>
      <c r="E5" s="27">
        <f>C5-D5</f>
        <v/>
      </c>
      <c r="F5" s="28">
        <f>IF(C5=0,0,(C5-D5)/C5)</f>
        <v/>
      </c>
      <c r="G5" s="29">
        <f>IF(E5&gt;0,"结余",IF(E5=0,"持平","超支"))</f>
        <v/>
      </c>
    </row>
    <row r="6">
      <c r="A6" s="25" t="inlineStr">
        <is>
          <t>生活开支</t>
        </is>
      </c>
      <c r="B6" s="26" t="inlineStr">
        <is>
          <t>住房</t>
        </is>
      </c>
      <c r="C6" s="27">
        <f>月度预算明细!C6</f>
        <v/>
      </c>
      <c r="D6" s="27" t="n">
        <v>12500</v>
      </c>
      <c r="E6" s="27">
        <f>C6-D6</f>
        <v/>
      </c>
      <c r="F6" s="28">
        <f>IF(C6=0,0,(C6-D6)/C6)</f>
        <v/>
      </c>
      <c r="G6" s="29">
        <f>IF(E6&gt;0,"结余",IF(E6=0,"持平","超支"))</f>
        <v/>
      </c>
    </row>
    <row r="7">
      <c r="A7" s="25" t="inlineStr">
        <is>
          <t>生活开支</t>
        </is>
      </c>
      <c r="B7" s="26" t="inlineStr">
        <is>
          <t>交通</t>
        </is>
      </c>
      <c r="C7" s="27">
        <f>月度预算明细!C7</f>
        <v/>
      </c>
      <c r="D7" s="27" t="n">
        <v>3600</v>
      </c>
      <c r="E7" s="27">
        <f>C7-D7</f>
        <v/>
      </c>
      <c r="F7" s="28">
        <f>IF(C7=0,0,(C7-D7)/C7)</f>
        <v/>
      </c>
      <c r="G7" s="29">
        <f>IF(E7&gt;0,"结余",IF(E7=0,"持平","超支"))</f>
        <v/>
      </c>
    </row>
    <row r="8">
      <c r="A8" s="25" t="inlineStr">
        <is>
          <t>生活开支</t>
        </is>
      </c>
      <c r="B8" s="26" t="inlineStr">
        <is>
          <t>服饰</t>
        </is>
      </c>
      <c r="C8" s="27">
        <f>月度预算明细!C8</f>
        <v/>
      </c>
      <c r="D8" s="27" t="n">
        <v>5100</v>
      </c>
      <c r="E8" s="27">
        <f>C8-D8</f>
        <v/>
      </c>
      <c r="F8" s="28">
        <f>IF(C8=0,0,(C8-D8)/C8)</f>
        <v/>
      </c>
      <c r="G8" s="29">
        <f>IF(E8&gt;0,"结余",IF(E8=0,"持平","超支"))</f>
        <v/>
      </c>
    </row>
    <row r="9">
      <c r="A9" s="25" t="inlineStr">
        <is>
          <t>生活开支</t>
        </is>
      </c>
      <c r="B9" s="26" t="inlineStr">
        <is>
          <t>日常用品</t>
        </is>
      </c>
      <c r="C9" s="27">
        <f>月度预算明细!C9</f>
        <v/>
      </c>
      <c r="D9" s="27" t="n">
        <v>2600</v>
      </c>
      <c r="E9" s="27">
        <f>C9-D9</f>
        <v/>
      </c>
      <c r="F9" s="28">
        <f>IF(C9=0,0,(C9-D9)/C9)</f>
        <v/>
      </c>
      <c r="G9" s="29">
        <f>IF(E9&gt;0,"结余",IF(E9=0,"持平","超支"))</f>
        <v/>
      </c>
    </row>
    <row r="10">
      <c r="A10" s="25" t="inlineStr">
        <is>
          <t>生活开支</t>
        </is>
      </c>
      <c r="B10" s="26" t="inlineStr">
        <is>
          <t>物业水电</t>
        </is>
      </c>
      <c r="C10" s="27">
        <f>月度预算明细!C10</f>
        <v/>
      </c>
      <c r="D10" s="27" t="n">
        <v>3100</v>
      </c>
      <c r="E10" s="27">
        <f>C10-D10</f>
        <v/>
      </c>
      <c r="F10" s="28">
        <f>IF(C10=0,0,(C10-D10)/C10)</f>
        <v/>
      </c>
      <c r="G10" s="29">
        <f>IF(E10&gt;0,"结余",IF(E10=0,"持平","超支"))</f>
        <v/>
      </c>
    </row>
    <row r="11">
      <c r="A11" s="25" t="inlineStr">
        <is>
          <t>子女教育</t>
        </is>
      </c>
      <c r="B11" s="26" t="inlineStr">
        <is>
          <t>学费</t>
        </is>
      </c>
      <c r="C11" s="27">
        <f>月度预算明细!C11</f>
        <v/>
      </c>
      <c r="D11" s="27" t="n">
        <v>5000</v>
      </c>
      <c r="E11" s="27">
        <f>C11-D11</f>
        <v/>
      </c>
      <c r="F11" s="28">
        <f>IF(C11=0,0,(C11-D11)/C11)</f>
        <v/>
      </c>
      <c r="G11" s="29">
        <f>IF(E11&gt;0,"结余",IF(E11=0,"持平","超支"))</f>
        <v/>
      </c>
    </row>
    <row r="12">
      <c r="A12" s="25" t="inlineStr">
        <is>
          <t>子女教育</t>
        </is>
      </c>
      <c r="B12" s="26" t="inlineStr">
        <is>
          <t>课外培训</t>
        </is>
      </c>
      <c r="C12" s="27">
        <f>月度预算明细!C12</f>
        <v/>
      </c>
      <c r="D12" s="27" t="n">
        <v>3600</v>
      </c>
      <c r="E12" s="27">
        <f>C12-D12</f>
        <v/>
      </c>
      <c r="F12" s="28">
        <f>IF(C12=0,0,(C12-D12)/C12)</f>
        <v/>
      </c>
      <c r="G12" s="29">
        <f>IF(E12&gt;0,"结余",IF(E12=0,"持平","超支"))</f>
        <v/>
      </c>
    </row>
    <row r="13">
      <c r="A13" s="25" t="inlineStr">
        <is>
          <t>子女教育</t>
        </is>
      </c>
      <c r="B13" s="26" t="inlineStr">
        <is>
          <t>书籍文具</t>
        </is>
      </c>
      <c r="C13" s="27">
        <f>月度预算明细!C13</f>
        <v/>
      </c>
      <c r="D13" s="27" t="n">
        <v>900</v>
      </c>
      <c r="E13" s="27">
        <f>C13-D13</f>
        <v/>
      </c>
      <c r="F13" s="28">
        <f>IF(C13=0,0,(C13-D13)/C13)</f>
        <v/>
      </c>
      <c r="G13" s="29">
        <f>IF(E13&gt;0,"结余",IF(E13=0,"持平","超支"))</f>
        <v/>
      </c>
    </row>
    <row r="14">
      <c r="A14" s="25" t="inlineStr">
        <is>
          <t>健康医疗</t>
        </is>
      </c>
      <c r="B14" s="26" t="inlineStr">
        <is>
          <t>保险</t>
        </is>
      </c>
      <c r="C14" s="27">
        <f>月度预算明细!C14</f>
        <v/>
      </c>
      <c r="D14" s="27" t="n">
        <v>2000</v>
      </c>
      <c r="E14" s="27">
        <f>C14-D14</f>
        <v/>
      </c>
      <c r="F14" s="28">
        <f>IF(C14=0,0,(C14-D14)/C14)</f>
        <v/>
      </c>
      <c r="G14" s="29">
        <f>IF(E14&gt;0,"结余",IF(E14=0,"持平","超支"))</f>
        <v/>
      </c>
    </row>
    <row r="15">
      <c r="A15" s="25" t="inlineStr">
        <is>
          <t>健康医疗</t>
        </is>
      </c>
      <c r="B15" s="26" t="inlineStr">
        <is>
          <t>医疗</t>
        </is>
      </c>
      <c r="C15" s="27">
        <f>月度预算明细!C15</f>
        <v/>
      </c>
      <c r="D15" s="27" t="n">
        <v>1400</v>
      </c>
      <c r="E15" s="27">
        <f>C15-D15</f>
        <v/>
      </c>
      <c r="F15" s="28">
        <f>IF(C15=0,0,(C15-D15)/C15)</f>
        <v/>
      </c>
      <c r="G15" s="29">
        <f>IF(E15&gt;0,"结余",IF(E15=0,"持平","超支"))</f>
        <v/>
      </c>
    </row>
    <row r="16">
      <c r="A16" s="25" t="inlineStr">
        <is>
          <t>健康医疗</t>
        </is>
      </c>
      <c r="B16" s="26" t="inlineStr">
        <is>
          <t>健身</t>
        </is>
      </c>
      <c r="C16" s="27">
        <f>月度预算明细!C16</f>
        <v/>
      </c>
      <c r="D16" s="27" t="n">
        <v>500</v>
      </c>
      <c r="E16" s="27">
        <f>C16-D16</f>
        <v/>
      </c>
      <c r="F16" s="28">
        <f>IF(C16=0,0,(C16-D16)/C16)</f>
        <v/>
      </c>
      <c r="G16" s="29">
        <f>IF(E16&gt;0,"结余",IF(E16=0,"持平","超支"))</f>
        <v/>
      </c>
    </row>
    <row r="17">
      <c r="A17" s="25" t="inlineStr">
        <is>
          <t>休闲娱乐</t>
        </is>
      </c>
      <c r="B17" s="26" t="inlineStr">
        <is>
          <t>旅行</t>
        </is>
      </c>
      <c r="C17" s="27">
        <f>月度预算明细!C17</f>
        <v/>
      </c>
      <c r="D17" s="27" t="n">
        <v>3500</v>
      </c>
      <c r="E17" s="27">
        <f>C17-D17</f>
        <v/>
      </c>
      <c r="F17" s="28">
        <f>IF(C17=0,0,(C17-D17)/C17)</f>
        <v/>
      </c>
      <c r="G17" s="29">
        <f>IF(E17&gt;0,"结余",IF(E17=0,"持平","超支"))</f>
        <v/>
      </c>
    </row>
    <row r="18">
      <c r="A18" s="25" t="inlineStr">
        <is>
          <t>休闲娱乐</t>
        </is>
      </c>
      <c r="B18" s="26" t="inlineStr">
        <is>
          <t>娱乐</t>
        </is>
      </c>
      <c r="C18" s="27">
        <f>月度预算明细!C18</f>
        <v/>
      </c>
      <c r="D18" s="27" t="n">
        <v>2800</v>
      </c>
      <c r="E18" s="27">
        <f>C18-D18</f>
        <v/>
      </c>
      <c r="F18" s="28">
        <f>IF(C18=0,0,(C18-D18)/C18)</f>
        <v/>
      </c>
      <c r="G18" s="29">
        <f>IF(E18&gt;0,"结余",IF(E18=0,"持平","超支"))</f>
        <v/>
      </c>
    </row>
    <row r="19">
      <c r="A19" s="25" t="inlineStr">
        <is>
          <t>休闲娱乐</t>
        </is>
      </c>
      <c r="B19" s="26" t="inlineStr">
        <is>
          <t>购物</t>
        </is>
      </c>
      <c r="C19" s="27">
        <f>月度预算明细!C19</f>
        <v/>
      </c>
      <c r="D19" s="27" t="n">
        <v>1900</v>
      </c>
      <c r="E19" s="27">
        <f>C19-D19</f>
        <v/>
      </c>
      <c r="F19" s="28">
        <f>IF(C19=0,0,(C19-D19)/C19)</f>
        <v/>
      </c>
      <c r="G19" s="29">
        <f>IF(E19&gt;0,"结余",IF(E19=0,"持平","超支"))</f>
        <v/>
      </c>
    </row>
    <row r="20">
      <c r="A20" s="25" t="inlineStr">
        <is>
          <t>社交人情</t>
        </is>
      </c>
      <c r="B20" s="26" t="inlineStr">
        <is>
          <t>人情往来</t>
        </is>
      </c>
      <c r="C20" s="27">
        <f>月度预算明细!C20</f>
        <v/>
      </c>
      <c r="D20" s="27" t="n">
        <v>2500</v>
      </c>
      <c r="E20" s="27">
        <f>C20-D20</f>
        <v/>
      </c>
      <c r="F20" s="28">
        <f>IF(C20=0,0,(C20-D20)/C20)</f>
        <v/>
      </c>
      <c r="G20" s="29">
        <f>IF(E20&gt;0,"结余",IF(E20=0,"持平","超支"))</f>
        <v/>
      </c>
    </row>
    <row r="21">
      <c r="A21" s="25" t="inlineStr">
        <is>
          <t>社交人情</t>
        </is>
      </c>
      <c r="B21" s="26" t="inlineStr">
        <is>
          <t>请客聚会</t>
        </is>
      </c>
      <c r="C21" s="27">
        <f>月度预算明细!C21</f>
        <v/>
      </c>
      <c r="D21" s="27" t="n">
        <v>1200</v>
      </c>
      <c r="E21" s="27">
        <f>C21-D21</f>
        <v/>
      </c>
      <c r="F21" s="28">
        <f>IF(C21=0,0,(C21-D21)/C21)</f>
        <v/>
      </c>
      <c r="G21" s="29">
        <f>IF(E21&gt;0,"结余",IF(E21=0,"持平","超支"))</f>
        <v/>
      </c>
    </row>
    <row r="22">
      <c r="A22" s="25" t="inlineStr">
        <is>
          <t>交通通讯</t>
        </is>
      </c>
      <c r="B22" s="26" t="inlineStr">
        <is>
          <t>油费停车</t>
        </is>
      </c>
      <c r="C22" s="27">
        <f>月度预算明细!C22</f>
        <v/>
      </c>
      <c r="D22" s="27" t="n">
        <v>1600</v>
      </c>
      <c r="E22" s="27">
        <f>C22-D22</f>
        <v/>
      </c>
      <c r="F22" s="28">
        <f>IF(C22=0,0,(C22-D22)/C22)</f>
        <v/>
      </c>
      <c r="G22" s="29">
        <f>IF(E22&gt;0,"结余",IF(E22=0,"持平","超支"))</f>
        <v/>
      </c>
    </row>
    <row r="23">
      <c r="A23" s="25" t="inlineStr">
        <is>
          <t>交通通讯</t>
        </is>
      </c>
      <c r="B23" s="26" t="inlineStr">
        <is>
          <t>话费流量</t>
        </is>
      </c>
      <c r="C23" s="27">
        <f>月度预算明细!C23</f>
        <v/>
      </c>
      <c r="D23" s="27" t="n">
        <v>480</v>
      </c>
      <c r="E23" s="27">
        <f>C23-D23</f>
        <v/>
      </c>
      <c r="F23" s="28">
        <f>IF(C23=0,0,(C23-D23)/C23)</f>
        <v/>
      </c>
      <c r="G23" s="29">
        <f>IF(E23&gt;0,"结余",IF(E23=0,"持平","超支"))</f>
        <v/>
      </c>
    </row>
    <row r="24">
      <c r="A24" s="25" t="inlineStr">
        <is>
          <t>其他支出</t>
        </is>
      </c>
      <c r="B24" s="26" t="inlineStr">
        <is>
          <t>意外支出</t>
        </is>
      </c>
      <c r="C24" s="27">
        <f>月度预算明细!C24</f>
        <v/>
      </c>
      <c r="D24" s="27" t="n">
        <v>3200</v>
      </c>
      <c r="E24" s="27">
        <f>C24-D24</f>
        <v/>
      </c>
      <c r="F24" s="28">
        <f>IF(C24=0,0,(C24-D24)/C24)</f>
        <v/>
      </c>
      <c r="G24" s="29">
        <f>IF(E24&gt;0,"结余",IF(E24=0,"持平","超支"))</f>
        <v/>
      </c>
    </row>
    <row r="25">
      <c r="A25" s="30" t="inlineStr">
        <is>
          <t>合计</t>
        </is>
      </c>
      <c r="B25" s="30" t="inlineStr">
        <is>
          <t>——</t>
        </is>
      </c>
      <c r="C25" s="31">
        <f>SUM(C5:C24)</f>
        <v/>
      </c>
      <c r="D25" s="31">
        <f>SUM(D5:D24)</f>
        <v/>
      </c>
      <c r="E25" s="31">
        <f>C25-D25</f>
        <v/>
      </c>
      <c r="F25" s="32">
        <f>IF(C25=0,0,(C25-D25)/C25)</f>
        <v/>
      </c>
      <c r="G25" s="30">
        <f>IF(E25&gt;0,"结余",IF(E25=0,"持平","超支"))</f>
        <v/>
      </c>
    </row>
    <row r="27">
      <c r="A27" s="33" t="inlineStr">
        <is>
          <t>按支出大类的预算 vs 实际汇总</t>
        </is>
      </c>
    </row>
    <row r="28">
      <c r="A28" s="18" t="inlineStr">
        <is>
          <t>支出大类</t>
        </is>
      </c>
      <c r="B28" s="18" t="inlineStr">
        <is>
          <t>预算合计</t>
        </is>
      </c>
      <c r="C28" s="18" t="inlineStr">
        <is>
          <t>实际合计</t>
        </is>
      </c>
      <c r="D28" s="18" t="inlineStr">
        <is>
          <t>差异</t>
        </is>
      </c>
    </row>
    <row r="29">
      <c r="A29" t="inlineStr">
        <is>
          <t>生活开支</t>
        </is>
      </c>
      <c r="B29" s="34">
        <f>SUMIF($A$5:$A$24,A29,$C$5:$C$24)</f>
        <v/>
      </c>
      <c r="C29" s="34">
        <f>SUMIF($A$5:$A$24,A29,$D$5:$D$24)</f>
        <v/>
      </c>
      <c r="D29" s="34">
        <f>B29-C29</f>
        <v/>
      </c>
    </row>
    <row r="30">
      <c r="A30" t="inlineStr">
        <is>
          <t>子女教育</t>
        </is>
      </c>
      <c r="B30" s="34">
        <f>SUMIF($A$5:$A$24,A30,$C$5:$C$24)</f>
        <v/>
      </c>
      <c r="C30" s="34">
        <f>SUMIF($A$5:$A$24,A30,$D$5:$D$24)</f>
        <v/>
      </c>
      <c r="D30" s="34">
        <f>B30-C30</f>
        <v/>
      </c>
    </row>
    <row r="31">
      <c r="A31" t="inlineStr">
        <is>
          <t>健康医疗</t>
        </is>
      </c>
      <c r="B31" s="34">
        <f>SUMIF($A$5:$A$24,A31,$C$5:$C$24)</f>
        <v/>
      </c>
      <c r="C31" s="34">
        <f>SUMIF($A$5:$A$24,A31,$D$5:$D$24)</f>
        <v/>
      </c>
      <c r="D31" s="34">
        <f>B31-C31</f>
        <v/>
      </c>
    </row>
    <row r="32">
      <c r="A32" t="inlineStr">
        <is>
          <t>休闲娱乐</t>
        </is>
      </c>
      <c r="B32" s="34">
        <f>SUMIF($A$5:$A$24,A32,$C$5:$C$24)</f>
        <v/>
      </c>
      <c r="C32" s="34">
        <f>SUMIF($A$5:$A$24,A32,$D$5:$D$24)</f>
        <v/>
      </c>
      <c r="D32" s="34">
        <f>B32-C32</f>
        <v/>
      </c>
    </row>
    <row r="33">
      <c r="A33" t="inlineStr">
        <is>
          <t>社交人情</t>
        </is>
      </c>
      <c r="B33" s="34">
        <f>SUMIF($A$5:$A$24,A33,$C$5:$C$24)</f>
        <v/>
      </c>
      <c r="C33" s="34">
        <f>SUMIF($A$5:$A$24,A33,$D$5:$D$24)</f>
        <v/>
      </c>
      <c r="D33" s="34">
        <f>B33-C33</f>
        <v/>
      </c>
    </row>
    <row r="34">
      <c r="A34" t="inlineStr">
        <is>
          <t>交通通讯</t>
        </is>
      </c>
      <c r="B34" s="34">
        <f>SUMIF($A$5:$A$24,A34,$C$5:$C$24)</f>
        <v/>
      </c>
      <c r="C34" s="34">
        <f>SUMIF($A$5:$A$24,A34,$D$5:$D$24)</f>
        <v/>
      </c>
      <c r="D34" s="34">
        <f>B34-C34</f>
        <v/>
      </c>
    </row>
    <row r="35">
      <c r="A35" t="inlineStr">
        <is>
          <t>其他支出</t>
        </is>
      </c>
      <c r="B35" s="34">
        <f>SUMIF($A$5:$A$24,A35,$C$5:$C$24)</f>
        <v/>
      </c>
      <c r="C35" s="34">
        <f>SUMIF($A$5:$A$24,A35,$D$5:$D$24)</f>
        <v/>
      </c>
      <c r="D35" s="34">
        <f>B35-C35</f>
        <v/>
      </c>
    </row>
  </sheetData>
  <mergeCells count="3">
    <mergeCell ref="A2:G2"/>
    <mergeCell ref="A1:G1"/>
    <mergeCell ref="A27:E27"/>
  </mergeCells>
  <conditionalFormatting sqref="E5:E24">
    <cfRule type="cellIs" priority="1" operator="lessThan" dxfId="0">
      <formula>0</formula>
    </cfRule>
    <cfRule type="cellIs" priority="3" operator="greaterThan" dxfId="1">
      <formula>0</formula>
    </cfRule>
  </conditionalFormatting>
  <conditionalFormatting sqref="F5:F24">
    <cfRule type="cellIs" priority="2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2026-08-21T16:51:16Z</dcterms:created>
  <dcterms:modified xmlns:dcterms="http://purl.org/dc/terms/" xmlns:xsi="http://www.w3.org/2001/XMLSchema-instance" xsi:type="dcterms:W3CDTF">2026-08-21T16:54:36Z</dcterms:modified>
</cp:coreProperties>
</file>