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透视汇总" sheetId="2" state="visible" r:id="rId2"/>
    <sheet xmlns:r="http://schemas.openxmlformats.org/officeDocument/2006/relationships" name="按周透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1734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10" fontId="0" fillId="0" borderId="0" pivotButton="0" quotePrefix="0" xfId="0"/>
    <xf numFmtId="0" fontId="3" fillId="4" borderId="0" pivotButton="0" quotePrefix="0" xfId="0"/>
    <xf numFmtId="4" fontId="3" fillId="4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分类预算合计（元）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'透视汇总'!B3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'透视汇总'!$A$4:$A$12</f>
            </numRef>
          </cat>
          <val>
            <numRef>
              <f>'透视汇总'!$B$4:$B$12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分类预算占比</a:t>
            </a:r>
          </a:p>
        </rich>
      </tx>
    </title>
    <plotArea>
      <pieChart>
        <varyColors val="1"/>
        <ser>
          <idx val="0"/>
          <order val="0"/>
          <tx>
            <strRef>
              <f>'透视汇总'!B3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'透视汇总'!$A$4:$A$12</f>
            </numRef>
          </cat>
          <val>
            <numRef>
              <f>'透视汇总'!$B$4:$B$12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明细表" displayName="明细表" ref="A1:D65" headerRowCount="1">
  <autoFilter ref="A1:D65"/>
  <tableColumns count="4">
    <tableColumn id="1" name="天"/>
    <tableColumn id="2" name="日期"/>
    <tableColumn id="3" name="分类"/>
    <tableColumn id="4" name="金额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天</t>
        </is>
      </c>
      <c r="B1" s="1" t="inlineStr">
        <is>
          <t>日期</t>
        </is>
      </c>
      <c r="C1" s="1" t="inlineStr">
        <is>
          <t>分类</t>
        </is>
      </c>
      <c r="D1" s="1" t="inlineStr">
        <is>
          <t>金额</t>
        </is>
      </c>
    </row>
    <row r="2">
      <c r="A2" t="n">
        <v>1</v>
      </c>
      <c r="B2" t="inlineStr">
        <is>
          <t>2025-06-01</t>
        </is>
      </c>
      <c r="C2" t="inlineStr">
        <is>
          <t>大额理财存款</t>
        </is>
      </c>
      <c r="D2" s="2" t="n">
        <v>8351611.2</v>
      </c>
    </row>
    <row r="3">
      <c r="A3" t="n">
        <v>2</v>
      </c>
      <c r="B3" t="inlineStr">
        <is>
          <t>2025-06-02</t>
        </is>
      </c>
      <c r="C3" t="inlineStr">
        <is>
          <t>日常开销</t>
        </is>
      </c>
      <c r="D3" s="2" t="n">
        <v>28602.3</v>
      </c>
    </row>
    <row r="4">
      <c r="A4" t="n">
        <v>3</v>
      </c>
      <c r="B4" t="inlineStr">
        <is>
          <t>2025-06-03</t>
        </is>
      </c>
      <c r="C4" t="inlineStr">
        <is>
          <t>投资支出</t>
        </is>
      </c>
      <c r="D4" s="2" t="n">
        <v>9698.299999999999</v>
      </c>
    </row>
    <row r="5">
      <c r="A5" t="n">
        <v>3</v>
      </c>
      <c r="B5" t="inlineStr">
        <is>
          <t>2025-06-03</t>
        </is>
      </c>
      <c r="C5" t="inlineStr">
        <is>
          <t>固定房贷车贷</t>
        </is>
      </c>
      <c r="D5" s="2" t="n">
        <v>35730.2</v>
      </c>
    </row>
    <row r="6">
      <c r="A6" t="n">
        <v>4</v>
      </c>
      <c r="B6" t="inlineStr">
        <is>
          <t>2025-06-04</t>
        </is>
      </c>
      <c r="C6" t="inlineStr">
        <is>
          <t>旅行休闲</t>
        </is>
      </c>
      <c r="D6" s="2" t="n">
        <v>28281.8</v>
      </c>
    </row>
    <row r="7">
      <c r="A7" t="n">
        <v>5</v>
      </c>
      <c r="B7" t="inlineStr">
        <is>
          <t>2025-06-05</t>
        </is>
      </c>
      <c r="C7" t="inlineStr">
        <is>
          <t>日常开销</t>
        </is>
      </c>
      <c r="D7" s="2" t="n">
        <v>19850.7</v>
      </c>
    </row>
    <row r="8">
      <c r="A8" t="n">
        <v>5</v>
      </c>
      <c r="B8" t="inlineStr">
        <is>
          <t>2025-06-05</t>
        </is>
      </c>
      <c r="C8" t="inlineStr">
        <is>
          <t>应急储备</t>
        </is>
      </c>
      <c r="D8" s="2" t="n">
        <v>12309.2</v>
      </c>
    </row>
    <row r="9">
      <c r="A9" t="n">
        <v>7</v>
      </c>
      <c r="B9" t="inlineStr">
        <is>
          <t>2025-06-07</t>
        </is>
      </c>
      <c r="C9" t="inlineStr">
        <is>
          <t>固定房贷车贷</t>
        </is>
      </c>
      <c r="D9" s="2" t="n">
        <v>49713.5</v>
      </c>
    </row>
    <row r="10">
      <c r="A10" t="n">
        <v>7</v>
      </c>
      <c r="B10" t="inlineStr">
        <is>
          <t>2025-06-07</t>
        </is>
      </c>
      <c r="C10" t="inlineStr">
        <is>
          <t>日常开销</t>
        </is>
      </c>
      <c r="D10" s="2" t="n">
        <v>28212.4</v>
      </c>
    </row>
    <row r="11">
      <c r="A11" t="n">
        <v>7</v>
      </c>
      <c r="B11" t="inlineStr">
        <is>
          <t>2025-06-07</t>
        </is>
      </c>
      <c r="C11" t="inlineStr">
        <is>
          <t>慈善捐赠</t>
        </is>
      </c>
      <c r="D11" s="2" t="n">
        <v>8056.6</v>
      </c>
    </row>
    <row r="12">
      <c r="A12" t="n">
        <v>7</v>
      </c>
      <c r="B12" t="inlineStr">
        <is>
          <t>2025-06-07</t>
        </is>
      </c>
      <c r="C12" t="inlineStr">
        <is>
          <t>投资支出</t>
        </is>
      </c>
      <c r="D12" s="2" t="n">
        <v>61081.9</v>
      </c>
    </row>
    <row r="13">
      <c r="A13" t="n">
        <v>8</v>
      </c>
      <c r="B13" t="inlineStr">
        <is>
          <t>2025-06-08</t>
        </is>
      </c>
      <c r="C13" t="inlineStr">
        <is>
          <t>医疗健康</t>
        </is>
      </c>
      <c r="D13" s="2" t="n">
        <v>12976.9</v>
      </c>
    </row>
    <row r="14">
      <c r="A14" t="n">
        <v>8</v>
      </c>
      <c r="B14" t="inlineStr">
        <is>
          <t>2025-06-08</t>
        </is>
      </c>
      <c r="C14" t="inlineStr">
        <is>
          <t>固定房贷车贷</t>
        </is>
      </c>
      <c r="D14" s="2" t="n">
        <v>47897</v>
      </c>
    </row>
    <row r="15">
      <c r="A15" t="n">
        <v>8</v>
      </c>
      <c r="B15" t="inlineStr">
        <is>
          <t>2025-06-08</t>
        </is>
      </c>
      <c r="C15" t="inlineStr">
        <is>
          <t>慈善捐赠</t>
        </is>
      </c>
      <c r="D15" s="2" t="n">
        <v>15685.1</v>
      </c>
    </row>
    <row r="16">
      <c r="A16" t="n">
        <v>8</v>
      </c>
      <c r="B16" t="inlineStr">
        <is>
          <t>2025-06-08</t>
        </is>
      </c>
      <c r="C16" t="inlineStr">
        <is>
          <t>旅行休闲</t>
        </is>
      </c>
      <c r="D16" s="2" t="n">
        <v>16164</v>
      </c>
    </row>
    <row r="17">
      <c r="A17" t="n">
        <v>9</v>
      </c>
      <c r="B17" t="inlineStr">
        <is>
          <t>2025-06-09</t>
        </is>
      </c>
      <c r="C17" t="inlineStr">
        <is>
          <t>固定房贷车贷</t>
        </is>
      </c>
      <c r="D17" s="2" t="n">
        <v>26124.4</v>
      </c>
    </row>
    <row r="18">
      <c r="A18" t="n">
        <v>9</v>
      </c>
      <c r="B18" t="inlineStr">
        <is>
          <t>2025-06-09</t>
        </is>
      </c>
      <c r="C18" t="inlineStr">
        <is>
          <t>应急储备</t>
        </is>
      </c>
      <c r="D18" s="2" t="n">
        <v>20614.3</v>
      </c>
    </row>
    <row r="19">
      <c r="A19" t="n">
        <v>10</v>
      </c>
      <c r="B19" t="inlineStr">
        <is>
          <t>2025-06-10</t>
        </is>
      </c>
      <c r="C19" t="inlineStr">
        <is>
          <t>固定房贷车贷</t>
        </is>
      </c>
      <c r="D19" s="2" t="n">
        <v>35154.1</v>
      </c>
    </row>
    <row r="20">
      <c r="A20" t="n">
        <v>10</v>
      </c>
      <c r="B20" t="inlineStr">
        <is>
          <t>2025-06-10</t>
        </is>
      </c>
      <c r="C20" t="inlineStr">
        <is>
          <t>投资支出</t>
        </is>
      </c>
      <c r="D20" s="2" t="n">
        <v>25276.7</v>
      </c>
    </row>
    <row r="21">
      <c r="A21" t="n">
        <v>10</v>
      </c>
      <c r="B21" t="inlineStr">
        <is>
          <t>2025-06-10</t>
        </is>
      </c>
      <c r="C21" t="inlineStr">
        <is>
          <t>应急储备</t>
        </is>
      </c>
      <c r="D21" s="2" t="n">
        <v>21684.3</v>
      </c>
    </row>
    <row r="22">
      <c r="A22" t="n">
        <v>12</v>
      </c>
      <c r="B22" t="inlineStr">
        <is>
          <t>2025-06-12</t>
        </is>
      </c>
      <c r="C22" t="inlineStr">
        <is>
          <t>医疗健康</t>
        </is>
      </c>
      <c r="D22" s="2" t="n">
        <v>18458.1</v>
      </c>
    </row>
    <row r="23">
      <c r="A23" t="n">
        <v>12</v>
      </c>
      <c r="B23" t="inlineStr">
        <is>
          <t>2025-06-12</t>
        </is>
      </c>
      <c r="C23" t="inlineStr">
        <is>
          <t>日常开销</t>
        </is>
      </c>
      <c r="D23" s="2" t="n">
        <v>14405.4</v>
      </c>
    </row>
    <row r="24">
      <c r="A24" t="n">
        <v>13</v>
      </c>
      <c r="B24" t="inlineStr">
        <is>
          <t>2025-06-13</t>
        </is>
      </c>
      <c r="C24" t="inlineStr">
        <is>
          <t>医疗健康</t>
        </is>
      </c>
      <c r="D24" s="2" t="n">
        <v>15569.4</v>
      </c>
    </row>
    <row r="25">
      <c r="A25" t="n">
        <v>13</v>
      </c>
      <c r="B25" t="inlineStr">
        <is>
          <t>2025-06-13</t>
        </is>
      </c>
      <c r="C25" t="inlineStr">
        <is>
          <t>投资支出</t>
        </is>
      </c>
      <c r="D25" s="2" t="n">
        <v>24815.5</v>
      </c>
    </row>
    <row r="26">
      <c r="A26" t="n">
        <v>14</v>
      </c>
      <c r="B26" t="inlineStr">
        <is>
          <t>2025-06-14</t>
        </is>
      </c>
      <c r="C26" t="inlineStr">
        <is>
          <t>固定房贷车贷</t>
        </is>
      </c>
      <c r="D26" s="2" t="n">
        <v>25973.1</v>
      </c>
    </row>
    <row r="27">
      <c r="A27" t="n">
        <v>14</v>
      </c>
      <c r="B27" t="inlineStr">
        <is>
          <t>2025-06-14</t>
        </is>
      </c>
      <c r="C27" t="inlineStr">
        <is>
          <t>慈善捐赠</t>
        </is>
      </c>
      <c r="D27" s="2" t="n">
        <v>4213.3</v>
      </c>
    </row>
    <row r="28">
      <c r="A28" t="n">
        <v>14</v>
      </c>
      <c r="B28" t="inlineStr">
        <is>
          <t>2025-06-14</t>
        </is>
      </c>
      <c r="C28" t="inlineStr">
        <is>
          <t>投资支出</t>
        </is>
      </c>
      <c r="D28" s="2" t="n">
        <v>56370.1</v>
      </c>
    </row>
    <row r="29">
      <c r="A29" t="n">
        <v>14</v>
      </c>
      <c r="B29" t="inlineStr">
        <is>
          <t>2025-06-14</t>
        </is>
      </c>
      <c r="C29" t="inlineStr">
        <is>
          <t>旅行休闲</t>
        </is>
      </c>
      <c r="D29" s="2" t="n">
        <v>8890.9</v>
      </c>
    </row>
    <row r="30">
      <c r="A30" t="n">
        <v>15</v>
      </c>
      <c r="B30" t="inlineStr">
        <is>
          <t>2025-06-15</t>
        </is>
      </c>
      <c r="C30" t="inlineStr">
        <is>
          <t>固定房贷车贷</t>
        </is>
      </c>
      <c r="D30" s="2" t="n">
        <v>27187.6</v>
      </c>
    </row>
    <row r="31">
      <c r="A31" t="n">
        <v>15</v>
      </c>
      <c r="B31" t="inlineStr">
        <is>
          <t>2025-06-15</t>
        </is>
      </c>
      <c r="C31" t="inlineStr">
        <is>
          <t>固定房贷车贷</t>
        </is>
      </c>
      <c r="D31" s="2" t="n">
        <v>31629.3</v>
      </c>
    </row>
    <row r="32">
      <c r="A32" t="n">
        <v>15</v>
      </c>
      <c r="B32" t="inlineStr">
        <is>
          <t>2025-06-15</t>
        </is>
      </c>
      <c r="C32" t="inlineStr">
        <is>
          <t>投资支出</t>
        </is>
      </c>
      <c r="D32" s="2" t="n">
        <v>68315.60000000001</v>
      </c>
    </row>
    <row r="33">
      <c r="A33" t="n">
        <v>15</v>
      </c>
      <c r="B33" t="inlineStr">
        <is>
          <t>2025-06-15</t>
        </is>
      </c>
      <c r="C33" t="inlineStr">
        <is>
          <t>日常开销</t>
        </is>
      </c>
      <c r="D33" s="2" t="n">
        <v>10220.9</v>
      </c>
    </row>
    <row r="34">
      <c r="A34" t="n">
        <v>16</v>
      </c>
      <c r="B34" t="inlineStr">
        <is>
          <t>2025-06-16</t>
        </is>
      </c>
      <c r="C34" t="inlineStr">
        <is>
          <t>子女教育</t>
        </is>
      </c>
      <c r="D34" s="2" t="n">
        <v>28595.2</v>
      </c>
    </row>
    <row r="35">
      <c r="A35" t="n">
        <v>16</v>
      </c>
      <c r="B35" t="inlineStr">
        <is>
          <t>2025-06-16</t>
        </is>
      </c>
      <c r="C35" t="inlineStr">
        <is>
          <t>日常开销</t>
        </is>
      </c>
      <c r="D35" s="2" t="n">
        <v>36039.7</v>
      </c>
    </row>
    <row r="36">
      <c r="A36" t="n">
        <v>17</v>
      </c>
      <c r="B36" t="inlineStr">
        <is>
          <t>2025-06-17</t>
        </is>
      </c>
      <c r="C36" t="inlineStr">
        <is>
          <t>子女教育</t>
        </is>
      </c>
      <c r="D36" s="2" t="n">
        <v>20245.8</v>
      </c>
    </row>
    <row r="37">
      <c r="A37" t="n">
        <v>17</v>
      </c>
      <c r="B37" t="inlineStr">
        <is>
          <t>2025-06-17</t>
        </is>
      </c>
      <c r="C37" t="inlineStr">
        <is>
          <t>固定房贷车贷</t>
        </is>
      </c>
      <c r="D37" s="2" t="n">
        <v>51555.7</v>
      </c>
    </row>
    <row r="38">
      <c r="A38" t="n">
        <v>17</v>
      </c>
      <c r="B38" t="inlineStr">
        <is>
          <t>2025-06-17</t>
        </is>
      </c>
      <c r="C38" t="inlineStr">
        <is>
          <t>投资支出</t>
        </is>
      </c>
      <c r="D38" s="2" t="n">
        <v>20730.3</v>
      </c>
    </row>
    <row r="39">
      <c r="A39" t="n">
        <v>18</v>
      </c>
      <c r="B39" t="inlineStr">
        <is>
          <t>2025-06-18</t>
        </is>
      </c>
      <c r="C39" t="inlineStr">
        <is>
          <t>医疗健康</t>
        </is>
      </c>
      <c r="D39" s="2" t="n">
        <v>19305.2</v>
      </c>
    </row>
    <row r="40">
      <c r="A40" t="n">
        <v>18</v>
      </c>
      <c r="B40" t="inlineStr">
        <is>
          <t>2025-06-18</t>
        </is>
      </c>
      <c r="C40" t="inlineStr">
        <is>
          <t>投资支出</t>
        </is>
      </c>
      <c r="D40" s="2" t="n">
        <v>15159.5</v>
      </c>
    </row>
    <row r="41">
      <c r="A41" t="n">
        <v>18</v>
      </c>
      <c r="B41" t="inlineStr">
        <is>
          <t>2025-06-18</t>
        </is>
      </c>
      <c r="C41" t="inlineStr">
        <is>
          <t>慈善捐赠</t>
        </is>
      </c>
      <c r="D41" s="2" t="n">
        <v>14908.4</v>
      </c>
    </row>
    <row r="42">
      <c r="A42" t="n">
        <v>19</v>
      </c>
      <c r="B42" t="inlineStr">
        <is>
          <t>2025-06-19</t>
        </is>
      </c>
      <c r="C42" t="inlineStr">
        <is>
          <t>应急储备</t>
        </is>
      </c>
      <c r="D42" s="2" t="n">
        <v>5617.4</v>
      </c>
    </row>
    <row r="43">
      <c r="A43" t="n">
        <v>19</v>
      </c>
      <c r="B43" t="inlineStr">
        <is>
          <t>2025-06-19</t>
        </is>
      </c>
      <c r="C43" t="inlineStr">
        <is>
          <t>投资支出</t>
        </is>
      </c>
      <c r="D43" s="2" t="n">
        <v>12429.6</v>
      </c>
    </row>
    <row r="44">
      <c r="A44" t="n">
        <v>19</v>
      </c>
      <c r="B44" t="inlineStr">
        <is>
          <t>2025-06-19</t>
        </is>
      </c>
      <c r="C44" t="inlineStr">
        <is>
          <t>子女教育</t>
        </is>
      </c>
      <c r="D44" s="2" t="n">
        <v>28506.7</v>
      </c>
    </row>
    <row r="45">
      <c r="A45" t="n">
        <v>19</v>
      </c>
      <c r="B45" t="inlineStr">
        <is>
          <t>2025-06-19</t>
        </is>
      </c>
      <c r="C45" t="inlineStr">
        <is>
          <t>投资支出</t>
        </is>
      </c>
      <c r="D45" s="2" t="n">
        <v>43187.4</v>
      </c>
    </row>
    <row r="46">
      <c r="A46" t="n">
        <v>20</v>
      </c>
      <c r="B46" t="inlineStr">
        <is>
          <t>2025-06-20</t>
        </is>
      </c>
      <c r="C46" t="inlineStr">
        <is>
          <t>投资支出</t>
        </is>
      </c>
      <c r="D46" s="2" t="n">
        <v>54715.6</v>
      </c>
    </row>
    <row r="47">
      <c r="A47" t="n">
        <v>20</v>
      </c>
      <c r="B47" t="inlineStr">
        <is>
          <t>2025-06-20</t>
        </is>
      </c>
      <c r="C47" t="inlineStr">
        <is>
          <t>慈善捐赠</t>
        </is>
      </c>
      <c r="D47" s="2" t="n">
        <v>12398</v>
      </c>
    </row>
    <row r="48">
      <c r="A48" t="n">
        <v>21</v>
      </c>
      <c r="B48" t="inlineStr">
        <is>
          <t>2025-06-21</t>
        </is>
      </c>
      <c r="C48" t="inlineStr">
        <is>
          <t>医疗健康</t>
        </is>
      </c>
      <c r="D48" s="2" t="n">
        <v>15373</v>
      </c>
    </row>
    <row r="49">
      <c r="A49" t="n">
        <v>21</v>
      </c>
      <c r="B49" t="inlineStr">
        <is>
          <t>2025-06-21</t>
        </is>
      </c>
      <c r="C49" t="inlineStr">
        <is>
          <t>投资支出</t>
        </is>
      </c>
      <c r="D49" s="2" t="n">
        <v>45660.2</v>
      </c>
    </row>
    <row r="50">
      <c r="A50" t="n">
        <v>22</v>
      </c>
      <c r="B50" t="inlineStr">
        <is>
          <t>2025-06-22</t>
        </is>
      </c>
      <c r="C50" t="inlineStr">
        <is>
          <t>固定房贷车贷</t>
        </is>
      </c>
      <c r="D50" s="2" t="n">
        <v>18876.9</v>
      </c>
    </row>
    <row r="51">
      <c r="A51" t="n">
        <v>23</v>
      </c>
      <c r="B51" t="inlineStr">
        <is>
          <t>2025-06-23</t>
        </is>
      </c>
      <c r="C51" t="inlineStr">
        <is>
          <t>旅行休闲</t>
        </is>
      </c>
      <c r="D51" s="2" t="n">
        <v>6267.4</v>
      </c>
    </row>
    <row r="52">
      <c r="A52" t="n">
        <v>24</v>
      </c>
      <c r="B52" t="inlineStr">
        <is>
          <t>2025-06-24</t>
        </is>
      </c>
      <c r="C52" t="inlineStr">
        <is>
          <t>应急储备</t>
        </is>
      </c>
      <c r="D52" s="2" t="n">
        <v>18561.1</v>
      </c>
    </row>
    <row r="53">
      <c r="A53" t="n">
        <v>24</v>
      </c>
      <c r="B53" t="inlineStr">
        <is>
          <t>2025-06-24</t>
        </is>
      </c>
      <c r="C53" t="inlineStr">
        <is>
          <t>投资支出</t>
        </is>
      </c>
      <c r="D53" s="2" t="n">
        <v>58215.6</v>
      </c>
    </row>
    <row r="54">
      <c r="A54" t="n">
        <v>24</v>
      </c>
      <c r="B54" t="inlineStr">
        <is>
          <t>2025-06-24</t>
        </is>
      </c>
      <c r="C54" t="inlineStr">
        <is>
          <t>子女教育</t>
        </is>
      </c>
      <c r="D54" s="2" t="n">
        <v>10093.1</v>
      </c>
    </row>
    <row r="55">
      <c r="A55" t="n">
        <v>25</v>
      </c>
      <c r="B55" t="inlineStr">
        <is>
          <t>2025-06-25</t>
        </is>
      </c>
      <c r="C55" t="inlineStr">
        <is>
          <t>固定房贷车贷</t>
        </is>
      </c>
      <c r="D55" s="2" t="n">
        <v>25562.5</v>
      </c>
    </row>
    <row r="56">
      <c r="A56" t="n">
        <v>26</v>
      </c>
      <c r="B56" t="inlineStr">
        <is>
          <t>2025-06-26</t>
        </is>
      </c>
      <c r="C56" t="inlineStr">
        <is>
          <t>日常开销</t>
        </is>
      </c>
      <c r="D56" s="2" t="n">
        <v>47324.4</v>
      </c>
    </row>
    <row r="57">
      <c r="A57" t="n">
        <v>27</v>
      </c>
      <c r="B57" t="inlineStr">
        <is>
          <t>2025-06-27</t>
        </is>
      </c>
      <c r="C57" t="inlineStr">
        <is>
          <t>日常开销</t>
        </is>
      </c>
      <c r="D57" s="2" t="n">
        <v>39491.9</v>
      </c>
    </row>
    <row r="58">
      <c r="A58" t="n">
        <v>27</v>
      </c>
      <c r="B58" t="inlineStr">
        <is>
          <t>2025-06-27</t>
        </is>
      </c>
      <c r="C58" t="inlineStr">
        <is>
          <t>投资支出</t>
        </is>
      </c>
      <c r="D58" s="2" t="n">
        <v>16971.7</v>
      </c>
    </row>
    <row r="59">
      <c r="A59" t="n">
        <v>28</v>
      </c>
      <c r="B59" t="inlineStr">
        <is>
          <t>2025-06-28</t>
        </is>
      </c>
      <c r="C59" t="inlineStr">
        <is>
          <t>应急储备</t>
        </is>
      </c>
      <c r="D59" s="2" t="n">
        <v>15150.2</v>
      </c>
    </row>
    <row r="60">
      <c r="A60" t="n">
        <v>28</v>
      </c>
      <c r="B60" t="inlineStr">
        <is>
          <t>2025-06-28</t>
        </is>
      </c>
      <c r="C60" t="inlineStr">
        <is>
          <t>旅行休闲</t>
        </is>
      </c>
      <c r="D60" s="2" t="n">
        <v>21610.4</v>
      </c>
    </row>
    <row r="61">
      <c r="A61" t="n">
        <v>28</v>
      </c>
      <c r="B61" t="inlineStr">
        <is>
          <t>2025-06-28</t>
        </is>
      </c>
      <c r="C61" t="inlineStr">
        <is>
          <t>慈善捐赠</t>
        </is>
      </c>
      <c r="D61" s="2" t="n">
        <v>15376.4</v>
      </c>
    </row>
    <row r="62">
      <c r="A62" t="n">
        <v>29</v>
      </c>
      <c r="B62" t="inlineStr">
        <is>
          <t>2025-06-29</t>
        </is>
      </c>
      <c r="C62" t="inlineStr">
        <is>
          <t>应急储备</t>
        </is>
      </c>
      <c r="D62" s="2" t="n">
        <v>25965.2</v>
      </c>
    </row>
    <row r="63">
      <c r="A63" t="n">
        <v>30</v>
      </c>
      <c r="B63" t="inlineStr">
        <is>
          <t>2025-06-30</t>
        </is>
      </c>
      <c r="C63" t="inlineStr">
        <is>
          <t>投资支出</t>
        </is>
      </c>
      <c r="D63" s="2" t="n">
        <v>63337.6</v>
      </c>
    </row>
    <row r="64">
      <c r="A64" t="n">
        <v>30</v>
      </c>
      <c r="B64" t="inlineStr">
        <is>
          <t>2025-06-30</t>
        </is>
      </c>
      <c r="C64" t="inlineStr">
        <is>
          <t>医疗健康</t>
        </is>
      </c>
      <c r="D64" s="2" t="n">
        <v>7723.7</v>
      </c>
    </row>
    <row r="65">
      <c r="A65" t="n">
        <v>30</v>
      </c>
      <c r="B65" t="inlineStr">
        <is>
          <t>2025-06-30</t>
        </is>
      </c>
      <c r="C65" t="inlineStr">
        <is>
          <t>应急储备</t>
        </is>
      </c>
      <c r="D65" s="2" t="n">
        <v>24270.1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3" t="inlineStr">
        <is>
          <t>透视汇总——按分类透视（pandas 求和；可在 Excel 中对「明细」再插入数据透视表）</t>
        </is>
      </c>
    </row>
    <row r="3">
      <c r="A3" s="4" t="inlineStr">
        <is>
          <t>分类</t>
        </is>
      </c>
      <c r="B3" s="4" t="inlineStr">
        <is>
          <t>金额(元)</t>
        </is>
      </c>
      <c r="C3" s="4" t="inlineStr">
        <is>
          <t>占比</t>
        </is>
      </c>
    </row>
    <row r="4">
      <c r="A4" t="inlineStr">
        <is>
          <t>医疗健康</t>
        </is>
      </c>
      <c r="B4" s="2" t="n">
        <v>89406.3</v>
      </c>
      <c r="C4" s="5">
        <f>B4/B13</f>
        <v/>
      </c>
    </row>
    <row r="5">
      <c r="A5" t="inlineStr">
        <is>
          <t>固定房贷车贷</t>
        </is>
      </c>
      <c r="B5" s="2" t="n">
        <v>375404.3</v>
      </c>
      <c r="C5" s="5">
        <f>B5/B13</f>
        <v/>
      </c>
    </row>
    <row r="6">
      <c r="A6" t="inlineStr">
        <is>
          <t>大额理财存款</t>
        </is>
      </c>
      <c r="B6" s="2" t="n">
        <v>8351611.2</v>
      </c>
      <c r="C6" s="5">
        <f>B6/B13</f>
        <v/>
      </c>
    </row>
    <row r="7">
      <c r="A7" t="inlineStr">
        <is>
          <t>子女教育</t>
        </is>
      </c>
      <c r="B7" s="2" t="n">
        <v>87440.8</v>
      </c>
      <c r="C7" s="5">
        <f>B7/B13</f>
        <v/>
      </c>
    </row>
    <row r="8">
      <c r="A8" t="inlineStr">
        <is>
          <t>应急储备</t>
        </is>
      </c>
      <c r="B8" s="2" t="n">
        <v>144171.8</v>
      </c>
      <c r="C8" s="5">
        <f>B8/B13</f>
        <v/>
      </c>
    </row>
    <row r="9">
      <c r="A9" t="inlineStr">
        <is>
          <t>慈善捐赠</t>
        </is>
      </c>
      <c r="B9" s="2" t="n">
        <v>70637.8</v>
      </c>
      <c r="C9" s="5">
        <f>B9/B13</f>
        <v/>
      </c>
    </row>
    <row r="10">
      <c r="A10" t="inlineStr">
        <is>
          <t>投资支出</t>
        </is>
      </c>
      <c r="B10" s="2" t="n">
        <v>575965.6</v>
      </c>
      <c r="C10" s="5">
        <f>B10/B13</f>
        <v/>
      </c>
    </row>
    <row r="11">
      <c r="A11" t="inlineStr">
        <is>
          <t>旅行休闲</t>
        </is>
      </c>
      <c r="B11" s="2" t="n">
        <v>81214.5</v>
      </c>
      <c r="C11" s="5">
        <f>B11/B13</f>
        <v/>
      </c>
    </row>
    <row r="12">
      <c r="A12" t="inlineStr">
        <is>
          <t>日常开销</t>
        </is>
      </c>
      <c r="B12" s="2" t="n">
        <v>224147.7</v>
      </c>
      <c r="C12" s="5">
        <f>B12/B13</f>
        <v/>
      </c>
    </row>
    <row r="13">
      <c r="A13" s="6" t="inlineStr">
        <is>
          <t>总计</t>
        </is>
      </c>
      <c r="B13" s="7" t="n">
        <v>9999999.999999998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3" t="inlineStr">
        <is>
          <t>按周 × 分类透视（行 = 周，列 = 分类，含合计）</t>
        </is>
      </c>
    </row>
    <row r="2">
      <c r="A2" s="1" t="inlineStr">
        <is>
          <t>周</t>
        </is>
      </c>
      <c r="B2" s="1" t="inlineStr">
        <is>
          <t>医疗健康</t>
        </is>
      </c>
      <c r="C2" s="1" t="inlineStr">
        <is>
          <t>固定房贷车贷</t>
        </is>
      </c>
      <c r="D2" s="1" t="inlineStr">
        <is>
          <t>大额理财存款</t>
        </is>
      </c>
      <c r="E2" s="1" t="inlineStr">
        <is>
          <t>子女教育</t>
        </is>
      </c>
      <c r="F2" s="1" t="inlineStr">
        <is>
          <t>应急储备</t>
        </is>
      </c>
      <c r="G2" s="1" t="inlineStr">
        <is>
          <t>慈善捐赠</t>
        </is>
      </c>
      <c r="H2" s="1" t="inlineStr">
        <is>
          <t>投资支出</t>
        </is>
      </c>
      <c r="I2" s="1" t="inlineStr">
        <is>
          <t>旅行休闲</t>
        </is>
      </c>
      <c r="J2" s="1" t="inlineStr">
        <is>
          <t>日常开销</t>
        </is>
      </c>
      <c r="K2" s="1" t="inlineStr">
        <is>
          <t>合计</t>
        </is>
      </c>
    </row>
    <row r="3">
      <c r="A3" t="inlineStr">
        <is>
          <t>第1周</t>
        </is>
      </c>
      <c r="B3" s="8" t="n">
        <v>0</v>
      </c>
      <c r="C3" s="8" t="n">
        <v>85443.7</v>
      </c>
      <c r="D3" s="8" t="n">
        <v>8351611.2</v>
      </c>
      <c r="E3" s="8" t="n">
        <v>0</v>
      </c>
      <c r="F3" s="8" t="n">
        <v>12309.2</v>
      </c>
      <c r="G3" s="8" t="n">
        <v>8056.6</v>
      </c>
      <c r="H3" s="8" t="n">
        <v>70780.2</v>
      </c>
      <c r="I3" s="8" t="n">
        <v>28281.8</v>
      </c>
      <c r="J3" s="8" t="n">
        <v>76665.39999999999</v>
      </c>
      <c r="K3" s="9" t="n">
        <v>8633148.1</v>
      </c>
    </row>
    <row r="4">
      <c r="A4" t="inlineStr">
        <is>
          <t>第2周</t>
        </is>
      </c>
      <c r="B4" s="8" t="n">
        <v>47004.4</v>
      </c>
      <c r="C4" s="8" t="n">
        <v>135148.6</v>
      </c>
      <c r="D4" s="8" t="n">
        <v>0</v>
      </c>
      <c r="E4" s="8" t="n">
        <v>0</v>
      </c>
      <c r="F4" s="8" t="n">
        <v>42298.6</v>
      </c>
      <c r="G4" s="8" t="n">
        <v>19898.4</v>
      </c>
      <c r="H4" s="8" t="n">
        <v>106462.3</v>
      </c>
      <c r="I4" s="8" t="n">
        <v>25054.9</v>
      </c>
      <c r="J4" s="8" t="n">
        <v>14405.4</v>
      </c>
      <c r="K4" s="9" t="n">
        <v>390272.6</v>
      </c>
    </row>
    <row r="5">
      <c r="A5" t="inlineStr">
        <is>
          <t>第3周</t>
        </is>
      </c>
      <c r="B5" s="8" t="n">
        <v>34678.2</v>
      </c>
      <c r="C5" s="8" t="n">
        <v>110372.6</v>
      </c>
      <c r="D5" s="8" t="n">
        <v>0</v>
      </c>
      <c r="E5" s="8" t="n">
        <v>77347.7</v>
      </c>
      <c r="F5" s="8" t="n">
        <v>5617.4</v>
      </c>
      <c r="G5" s="8" t="n">
        <v>27306.4</v>
      </c>
      <c r="H5" s="8" t="n">
        <v>260198.2</v>
      </c>
      <c r="I5" s="8" t="n">
        <v>0</v>
      </c>
      <c r="J5" s="8" t="n">
        <v>46260.6</v>
      </c>
      <c r="K5" s="9" t="n">
        <v>561781.1</v>
      </c>
    </row>
    <row r="6">
      <c r="A6" t="inlineStr">
        <is>
          <t>第4周</t>
        </is>
      </c>
      <c r="B6" s="8" t="n">
        <v>0</v>
      </c>
      <c r="C6" s="8" t="n">
        <v>44439.4</v>
      </c>
      <c r="D6" s="8" t="n">
        <v>0</v>
      </c>
      <c r="E6" s="8" t="n">
        <v>10093.1</v>
      </c>
      <c r="F6" s="8" t="n">
        <v>33711.3</v>
      </c>
      <c r="G6" s="8" t="n">
        <v>15376.4</v>
      </c>
      <c r="H6" s="8" t="n">
        <v>75187.3</v>
      </c>
      <c r="I6" s="8" t="n">
        <v>27877.8</v>
      </c>
      <c r="J6" s="8" t="n">
        <v>86816.3</v>
      </c>
      <c r="K6" s="9" t="n">
        <v>293501.6</v>
      </c>
    </row>
    <row r="7">
      <c r="A7" t="inlineStr">
        <is>
          <t>第5周</t>
        </is>
      </c>
      <c r="B7" s="8" t="n">
        <v>7723.7</v>
      </c>
      <c r="C7" s="8" t="n">
        <v>0</v>
      </c>
      <c r="D7" s="8" t="n">
        <v>0</v>
      </c>
      <c r="E7" s="8" t="n">
        <v>0</v>
      </c>
      <c r="F7" s="8" t="n">
        <v>50235.3</v>
      </c>
      <c r="G7" s="8" t="n">
        <v>0</v>
      </c>
      <c r="H7" s="8" t="n">
        <v>63337.6</v>
      </c>
      <c r="I7" s="8" t="n">
        <v>0</v>
      </c>
      <c r="J7" s="8" t="n">
        <v>0</v>
      </c>
      <c r="K7" s="9" t="n">
        <v>121296.6</v>
      </c>
    </row>
    <row r="8">
      <c r="A8" s="10" t="inlineStr">
        <is>
          <t>合计</t>
        </is>
      </c>
      <c r="B8" s="9" t="n">
        <v>89406.3</v>
      </c>
      <c r="C8" s="9" t="n">
        <v>375404.3</v>
      </c>
      <c r="D8" s="9" t="n">
        <v>8351611.2</v>
      </c>
      <c r="E8" s="9" t="n">
        <v>87440.8</v>
      </c>
      <c r="F8" s="9" t="n">
        <v>144171.8</v>
      </c>
      <c r="G8" s="9" t="n">
        <v>70637.8</v>
      </c>
      <c r="H8" s="9" t="n">
        <v>575965.6</v>
      </c>
      <c r="I8" s="9" t="n">
        <v>81214.5</v>
      </c>
      <c r="J8" s="9" t="n">
        <v>224147.7</v>
      </c>
      <c r="K8" s="9" t="n">
        <v>9999999.999999998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2026-08-22T04:50:55Z</dcterms:created>
  <dcterms:modified xmlns:dcterms="http://purl.org/dc/terms/" xmlns:xsi="http://www.w3.org/2001/XMLSchema-instance" xsi:type="dcterms:W3CDTF">2026-08-22T04:50:55Z</dcterms:modified>
</cp:coreProperties>
</file>